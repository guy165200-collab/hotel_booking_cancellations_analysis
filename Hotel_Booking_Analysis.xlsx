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7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1_Overview" sheetId="2" state="visible" r:id="rId4"/>
    <sheet name="2_Trend" sheetId="3" state="visible" r:id="rId5"/>
    <sheet name="3_Lead_Time" sheetId="4" state="visible" r:id="rId6"/>
    <sheet name="4_Segments" sheetId="5" state="visible" r:id="rId7"/>
    <sheet name="5_Deposit" sheetId="6" state="visible" r:id="rId8"/>
    <sheet name="6_Guest_Signals" sheetId="7" state="visible" r:id="rId9"/>
    <sheet name="7_Countries" sheetId="8" state="visible" r:id="rId10"/>
    <sheet name="8_Heatmap" sheetId="9" state="visible" r:id="rId11"/>
    <sheet name="9_Seasonality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<sst xmlns="http://schemas.openxmlformats.org/spreadsheetml/2006/main" count="266" uniqueCount="203">
  <si>
    <t xml:space="preserve">Hotel Booking Cancellations - Analysis Workbook</t>
  </si>
  <si>
    <t xml:space="preserve">119,208 bookings (after cleaning) at a City Hotel (Lisbon) and a Resort Hotel (Algarve), arrivals Jul 2015 – Aug 2017. Data: Antonio, Almeida &amp; Nunes (2019), Data in Brief 22.</t>
  </si>
  <si>
    <t xml:space="preserve">Key metric</t>
  </si>
  <si>
    <t xml:space="preserve">Value</t>
  </si>
  <si>
    <t xml:space="preserve">Where it comes from</t>
  </si>
  <si>
    <t xml:space="preserve">Bookings analysed</t>
  </si>
  <si>
    <t xml:space="preserve">1_Overview</t>
  </si>
  <si>
    <t xml:space="preserve">Cancellation rate (both hotels)</t>
  </si>
  <si>
    <t xml:space="preserve">Cancellation rate - City Hotel</t>
  </si>
  <si>
    <t xml:space="preserve">Cancellation rate - Resort Hotel</t>
  </si>
  <si>
    <t xml:space="preserve">Room revenue cancelled (26 months)</t>
  </si>
  <si>
    <t xml:space="preserve">Share of booked value lost</t>
  </si>
  <si>
    <t xml:space="preserve">Revenue cancelled per year</t>
  </si>
  <si>
    <t xml:space="preserve">Rate: booked 0–7 days ahead</t>
  </si>
  <si>
    <t xml:space="preserve">3_Lead_Time</t>
  </si>
  <si>
    <t xml:space="preserve">Rate: booked 181–365 days ahead</t>
  </si>
  <si>
    <t xml:space="preserve">Rate: Non Refund deposit</t>
  </si>
  <si>
    <t xml:space="preserve">5_Deposit</t>
  </si>
  <si>
    <t xml:space="preserve">Online TA share of lost revenue</t>
  </si>
  <si>
    <t xml:space="preserve">4_Segments</t>
  </si>
  <si>
    <t xml:space="preserve">Sheets</t>
  </si>
  <si>
    <t xml:space="preserve">1 Overview</t>
  </si>
  <si>
    <t xml:space="preserve">How big is the problem?</t>
  </si>
  <si>
    <t xml:space="preserve">2 Trend</t>
  </si>
  <si>
    <t xml:space="preserve">Cancellation rate over time</t>
  </si>
  <si>
    <t xml:space="preserve">3 Lead Time</t>
  </si>
  <si>
    <t xml:space="preserve">Cancellation rate by lead time</t>
  </si>
  <si>
    <t xml:space="preserve">4 Segments</t>
  </si>
  <si>
    <t xml:space="preserve">Market segments: cancellation rate and lost revenue</t>
  </si>
  <si>
    <t xml:space="preserve">5 Deposit</t>
  </si>
  <si>
    <t xml:space="preserve">Deposit type: the non-refundable anomaly</t>
  </si>
  <si>
    <t xml:space="preserve">6 Guest Signals</t>
  </si>
  <si>
    <t xml:space="preserve">Guest behaviour and history</t>
  </si>
  <si>
    <t xml:space="preserve">7 Countries</t>
  </si>
  <si>
    <t xml:space="preserve">Top 10 countries</t>
  </si>
  <si>
    <t xml:space="preserve">8 Heatmap</t>
  </si>
  <si>
    <t xml:space="preserve">Cancellation rate: market segment × lead time</t>
  </si>
  <si>
    <t xml:space="preserve">9 Seasonality</t>
  </si>
  <si>
    <t xml:space="preserve">Seasonality, price and lost revenue by month</t>
  </si>
  <si>
    <t xml:space="preserve">Colour key</t>
  </si>
  <si>
    <t xml:space="preserve">Blue text = values from the SQL queries</t>
  </si>
  <si>
    <t xml:space="preserve">Black text = Excel formulas (rates, shares, totals)</t>
  </si>
  <si>
    <t xml:space="preserve">Green text = links to other sheets</t>
  </si>
  <si>
    <t xml:space="preserve">1. How big is the problem?</t>
  </si>
  <si>
    <t xml:space="preserve">Headline KPIs and room revenue lost to cancellations, per hotel</t>
  </si>
  <si>
    <t xml:space="preserve">Source: queries 3.1 and 3.3 in Hotel_Booking_Analysis_SQL_Code.sql</t>
  </si>
  <si>
    <t xml:space="preserve">Hotel</t>
  </si>
  <si>
    <t xml:space="preserve">Bookings</t>
  </si>
  <si>
    <t xml:space="preserve">Cancelled</t>
  </si>
  <si>
    <t xml:space="preserve">Cancellation rate</t>
  </si>
  <si>
    <t xml:space="preserve">Avg price / night (€)</t>
  </si>
  <si>
    <t xml:space="preserve">Avg lead time (days)</t>
  </si>
  <si>
    <t xml:space="preserve">Avg nights</t>
  </si>
  <si>
    <t xml:space="preserve">City Hotel</t>
  </si>
  <si>
    <t xml:space="preserve">Resort Hotel</t>
  </si>
  <si>
    <t xml:space="preserve">Total</t>
  </si>
  <si>
    <t xml:space="preserve">Months of data</t>
  </si>
  <si>
    <t xml:space="preserve">Booked value (€)</t>
  </si>
  <si>
    <t xml:space="preserve">Cancelled value (€)</t>
  </si>
  <si>
    <t xml:space="preserve">Share of value lost</t>
  </si>
  <si>
    <t xml:space="preserve">Lost per year (€)</t>
  </si>
  <si>
    <t xml:space="preserve">Jul 2015 – Aug 2017 (query 1.3)</t>
  </si>
  <si>
    <t xml:space="preserve">Booking value = price per night (ADR) × nights. Lost value is an upper bound: re-sold rooms are not recorded.</t>
  </si>
  <si>
    <t xml:space="preserve">2. Cancellation rate over time</t>
  </si>
  <si>
    <t xml:space="preserve">By month of arrival, July 2015 – August 2017</t>
  </si>
  <si>
    <t xml:space="preserve">Source: query 3.4 in Hotel_Booking_Analysis_SQL_Code.sql</t>
  </si>
  <si>
    <t xml:space="preserve">Arrival month</t>
  </si>
  <si>
    <t xml:space="preserve">City bookings</t>
  </si>
  <si>
    <t xml:space="preserve">City cancelled</t>
  </si>
  <si>
    <t xml:space="preserve">Resort bookings</t>
  </si>
  <si>
    <t xml:space="preserve">Resort cancelled</t>
  </si>
  <si>
    <t xml:space="preserve">Jul 2015</t>
  </si>
  <si>
    <t xml:space="preserve">Aug 2015</t>
  </si>
  <si>
    <t xml:space="preserve">Sep 2015</t>
  </si>
  <si>
    <t xml:space="preserve">Oct 2015</t>
  </si>
  <si>
    <t xml:space="preserve">Nov 2015</t>
  </si>
  <si>
    <t xml:space="preserve">Dec 2015</t>
  </si>
  <si>
    <t xml:space="preserve">Jan 2016</t>
  </si>
  <si>
    <t xml:space="preserve">Feb 2016</t>
  </si>
  <si>
    <t xml:space="preserve">Mar 2016</t>
  </si>
  <si>
    <t xml:space="preserve">Apr 2016</t>
  </si>
  <si>
    <t xml:space="preserve">May 2016</t>
  </si>
  <si>
    <t xml:space="preserve">Jun 2016</t>
  </si>
  <si>
    <t xml:space="preserve">Jul 2016</t>
  </si>
  <si>
    <t xml:space="preserve">Aug 2016</t>
  </si>
  <si>
    <t xml:space="preserve">Sep 2016</t>
  </si>
  <si>
    <t xml:space="preserve">Oct 2016</t>
  </si>
  <si>
    <t xml:space="preserve">Nov 2016</t>
  </si>
  <si>
    <t xml:space="preserve">Dec 2016</t>
  </si>
  <si>
    <t xml:space="preserve">Jan 2017</t>
  </si>
  <si>
    <t xml:space="preserve">Feb 2017</t>
  </si>
  <si>
    <t xml:space="preserve">Mar 2017</t>
  </si>
  <si>
    <t xml:space="preserve">Apr 2017</t>
  </si>
  <si>
    <t xml:space="preserve">May 2017</t>
  </si>
  <si>
    <t xml:space="preserve">Jun 2017</t>
  </si>
  <si>
    <t xml:space="preserve">Jul 2017</t>
  </si>
  <si>
    <t xml:space="preserve">Aug 2017</t>
  </si>
  <si>
    <t xml:space="preserve">3. Cancellation rate by lead time</t>
  </si>
  <si>
    <t xml:space="preserve">Lead time = days between booking and arrival</t>
  </si>
  <si>
    <t xml:space="preserve">Source: query 4.1 in Hotel_Booking_Analysis_SQL_Code.sql</t>
  </si>
  <si>
    <t xml:space="preserve">Lead time</t>
  </si>
  <si>
    <t xml:space="preserve">Both hotels</t>
  </si>
  <si>
    <t xml:space="preserve">0–7 days</t>
  </si>
  <si>
    <t xml:space="preserve">8–30 days</t>
  </si>
  <si>
    <t xml:space="preserve">31–90 days</t>
  </si>
  <si>
    <t xml:space="preserve">91–180 days</t>
  </si>
  <si>
    <t xml:space="preserve">181–365 days</t>
  </si>
  <si>
    <t xml:space="preserve">365+ days</t>
  </si>
  <si>
    <t xml:space="preserve">4. Market segments: cancellation rate and lost revenue</t>
  </si>
  <si>
    <t xml:space="preserve">A segment with an average rate can still cause most of the losses because of its size</t>
  </si>
  <si>
    <t xml:space="preserve">Source: query 4.2 in Hotel_Booking_Analysis_SQL_Code.sql</t>
  </si>
  <si>
    <t xml:space="preserve">Market segment</t>
  </si>
  <si>
    <t xml:space="preserve">Lost value (€)</t>
  </si>
  <si>
    <t xml:space="preserve">Share of lost value</t>
  </si>
  <si>
    <t xml:space="preserve">Online TA</t>
  </si>
  <si>
    <t xml:space="preserve">Groups</t>
  </si>
  <si>
    <t xml:space="preserve">Offline TA/TO</t>
  </si>
  <si>
    <t xml:space="preserve">Direct</t>
  </si>
  <si>
    <t xml:space="preserve">Corporate</t>
  </si>
  <si>
    <t xml:space="preserve">Aviation</t>
  </si>
  <si>
    <t xml:space="preserve">Complementary</t>
  </si>
  <si>
    <t xml:space="preserve">5. Deposit type: the non-refundable anomaly</t>
  </si>
  <si>
    <t xml:space="preserve">Non-refundable bookings should cancel the least; they cancel the most</t>
  </si>
  <si>
    <t xml:space="preserve">Source: queries 4.3 and 4.4 in Hotel_Booking_Analysis_SQL_Code.sql</t>
  </si>
  <si>
    <t xml:space="preserve">Deposit type</t>
  </si>
  <si>
    <t xml:space="preserve">Non Refund</t>
  </si>
  <si>
    <t xml:space="preserve">No Deposit</t>
  </si>
  <si>
    <t xml:space="preserve">Refundable</t>
  </si>
  <si>
    <t xml:space="preserve">Profile</t>
  </si>
  <si>
    <t xml:space="preserve">All other bookings</t>
  </si>
  <si>
    <t xml:space="preserve">Share from Portugal</t>
  </si>
  <si>
    <t xml:space="preserve">Share Groups / tour operators</t>
  </si>
  <si>
    <t xml:space="preserve">Avg special requests</t>
  </si>
  <si>
    <t xml:space="preserve">Share at City Hotel</t>
  </si>
  <si>
    <t xml:space="preserve">Reading: almost all non-refundable bookings are early, offline group / tour-operator blocks from Portugal with no special requests - room blocks released unused, with the deposit not enforced.</t>
  </si>
  <si>
    <t xml:space="preserve">6. Guest behaviour and history</t>
  </si>
  <si>
    <t xml:space="preserve">Engaged and loyal guests keep their bookings</t>
  </si>
  <si>
    <t xml:space="preserve">Source: queries 4.5 and 4.6 in Hotel_Booking_Analysis_SQL_Code.sql</t>
  </si>
  <si>
    <t xml:space="preserve">Signal</t>
  </si>
  <si>
    <t xml:space="preserve">Made a special request</t>
  </si>
  <si>
    <t xml:space="preserve">No</t>
  </si>
  <si>
    <t xml:space="preserve">Yes</t>
  </si>
  <si>
    <t xml:space="preserve">Repeat guest</t>
  </si>
  <si>
    <t xml:space="preserve">Has cancelled before</t>
  </si>
  <si>
    <t xml:space="preserve">Requested parking*</t>
  </si>
  <si>
    <t xml:space="preserve">* Parking is recorded at check-in, so only guests who arrived can have it - a recording artefact, not an insight.</t>
  </si>
  <si>
    <t xml:space="preserve">Special requests</t>
  </si>
  <si>
    <t xml:space="preserve">0</t>
  </si>
  <si>
    <t xml:space="preserve">1</t>
  </si>
  <si>
    <t xml:space="preserve">2</t>
  </si>
  <si>
    <t xml:space="preserve">3+</t>
  </si>
  <si>
    <t xml:space="preserve">7. Top 10 countries</t>
  </si>
  <si>
    <t xml:space="preserve">With and without the non-refundable group blocks</t>
  </si>
  <si>
    <t xml:space="preserve">Source: query 4.7 in Hotel_Booking_Analysis_SQL_Code.sql</t>
  </si>
  <si>
    <t xml:space="preserve">Country</t>
  </si>
  <si>
    <t xml:space="preserve">Bookings excl. Non Refund</t>
  </si>
  <si>
    <t xml:space="preserve">Cancelled excl. Non Refund</t>
  </si>
  <si>
    <t xml:space="preserve">Rate excl. Non Refund</t>
  </si>
  <si>
    <t xml:space="preserve">PRT</t>
  </si>
  <si>
    <t xml:space="preserve">GBR</t>
  </si>
  <si>
    <t xml:space="preserve">FRA</t>
  </si>
  <si>
    <t xml:space="preserve">ESP</t>
  </si>
  <si>
    <t xml:space="preserve">DEU</t>
  </si>
  <si>
    <t xml:space="preserve">ITA</t>
  </si>
  <si>
    <t xml:space="preserve">IRL</t>
  </si>
  <si>
    <t xml:space="preserve">BEL</t>
  </si>
  <si>
    <t xml:space="preserve">BRA</t>
  </si>
  <si>
    <t xml:space="preserve">NLD</t>
  </si>
  <si>
    <t xml:space="preserve">8. Cancellation rate: market segment × lead time</t>
  </si>
  <si>
    <t xml:space="preserve">Where the two biggest risk factors overlap (conditional formatting)</t>
  </si>
  <si>
    <t xml:space="preserve">Source: query 4.8 in Hotel_Booking_Analysis_SQL_Code.sql</t>
  </si>
  <si>
    <t xml:space="preserve">0–30 days</t>
  </si>
  <si>
    <t xml:space="preserve">180+ days</t>
  </si>
  <si>
    <t xml:space="preserve">9. Seasonality, price and lost revenue by month</t>
  </si>
  <si>
    <t xml:space="preserve">Bookings averaged per year (each month appears in 2 or 3 years); price = avg ADR of stays that happened</t>
  </si>
  <si>
    <t xml:space="preserve">Source: queries 5.1 – 5.3 in Hotel_Booking_Analysis_SQL_Code.sql</t>
  </si>
  <si>
    <t xml:space="preserve">Month</t>
  </si>
  <si>
    <t xml:space="preserve">City bookings / yr</t>
  </si>
  <si>
    <t xml:space="preserve">Resort bookings / yr</t>
  </si>
  <si>
    <t xml:space="preserve">City price (€)</t>
  </si>
  <si>
    <t xml:space="preserve">Resort price (€)</t>
  </si>
  <si>
    <t xml:space="preserve">City lost value (€)</t>
  </si>
  <si>
    <t xml:space="preserve">Resort lost value (€)</t>
  </si>
  <si>
    <t xml:space="preserve">City rank</t>
  </si>
  <si>
    <t xml:space="preserve">Resort rank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</si>
  <si>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</si>
  <si>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</si>
  <si>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</si>
  <si>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</si>
  <si>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</si>
  <si>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</si>
  <si>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</si>
  <si>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</si>
  <si>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</si>
  <si>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</si>
  <si>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</si>
  <si>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</si>
  <si>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Season</t>
  </si>
  <si>
    <t xml:space="preserve">Cancelled bookings</t>
  </si>
  <si>
    <t xml:space="preserve">Total lost value (€)</t>
  </si>
  <si>
    <t xml:space="preserve">Avg value per cancellation (€)</t>
  </si>
  <si>
    <t xml:space="preserve">Summer (Jun–Aug)</t>
  </si>
  <si>
    <t xml:space="preserve">Rest of year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</si>
</sst>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"/>
    <numFmt numFmtId="166" formatCode="0.0%"/>
    <numFmt numFmtId="167" formatCode="\€#,##0;&quot;(€&quot;#,##0\);\-"/>
    <numFmt numFmtId="168" formatCode="#,##0.00"/>
    <numFmt numFmtId="169" formatCode="0.0"/>
    <numFmt numFmtId="170" formatCode="0"/>
    <numFmt numFmtId="171" formatCode="0%"/>
    <numFmt numFmtId="172" formatCode="0.00"/>
    <numFmt numFmtId="173" formatCode="\€#,##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5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777777"/>
      <name val="Arial"/>
      <family val="0"/>
      <charset val="1"/>
    </font>
    <font>
      <b val="true"/>
      <sz val="10"/>
      <name val="Arial"/>
      <family val="0"/>
      <charset val="1"/>
    </font>
    <font>
      <u val="single"/>
      <sz val="10"/>
      <color rgb="FF2A78D6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4"/>
      <color rgb="FF1F3A5F"/>
      <name val="Arial"/>
      <family val="0"/>
      <charset val="1"/>
    </font>
    <font>
      <sz val="9"/>
      <color rgb="FF777777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3A5F"/>
        <bgColor rgb="FF333399"/>
      </patternFill>
    </fill>
    <fill>
      <patternFill patternType="solid">
        <fgColor rgb="FFEEF2F7"/>
        <bgColor rgb="FFF9F9F9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F9F9F9"/>
      <rgbColor rgb="FFEEF2F7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A78D6"/>
      <rgbColor rgb="FF33CCCC"/>
      <rgbColor rgb="FF99CC00"/>
      <rgbColor rgb="FFFFCC00"/>
      <rgbColor rgb="FFFF9900"/>
      <rgbColor rgb="FFEB6834"/>
      <rgbColor rgb="FF777777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Cancellation rate by hotel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1_Overview!D5</c:f>
              <c:strCache>
                <c:ptCount val="1"/>
                <c:pt idx="0">
                  <c:v>Cancellation rate</c:v>
                </c:pt>
              </c:strCache>
            </c:strRef>
          </c:tx>
          <c:spPr>
            <a:solidFill>
              <a:srgbClr val="2a78d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numFmt formatCode="0.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1_Overview!$A$6:$A$7</c:f>
              <c:strCache>
                <c:ptCount val="2"/>
                <c:pt idx="0">
                  <c:v>City Hotel</c:v>
                </c:pt>
                <c:pt idx="1">
                  <c:v>Resort Hotel</c:v>
                </c:pt>
              </c:strCache>
            </c:strRef>
          </c:cat>
          <c:val>
            <c:numRef>
              <c:f>1_Overview!$D$6:$D$7</c:f>
              <c:numCache>
                <c:formatCode>0.0%</c:formatCode>
                <c:ptCount val="2"/>
                <c:pt idx="0">
                  <c:v>0.417851999696824</c:v>
                </c:pt>
                <c:pt idx="1">
                  <c:v>0.277680667232682</c:v>
                </c:pt>
              </c:numCache>
            </c:numRef>
          </c:val>
        </c:ser>
        <c:gapWidth val="150"/>
        <c:overlap val="0"/>
        <c:axId val="54910138"/>
        <c:axId val="38796674"/>
      </c:barChart>
      <c:catAx>
        <c:axId val="5491013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796674"/>
        <c:crosses val="autoZero"/>
        <c:auto val="1"/>
        <c:lblAlgn val="ctr"/>
        <c:lblOffset val="100"/>
        <c:noMultiLvlLbl val="0"/>
      </c:catAx>
      <c:valAx>
        <c:axId val="38796674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91013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cancellation rate by hotel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2_Trend!F5</c:f>
              <c:strCache>
                <c:ptCount val="1"/>
                <c:pt idx="0">
                  <c:v>City Hotel</c:v>
                </c:pt>
              </c:strCache>
            </c:strRef>
          </c:tx>
          <c:spPr>
            <a:solidFill>
              <a:srgbClr val="2a78d6"/>
            </a:solidFill>
            <a:ln w="21960">
              <a:solidFill>
                <a:srgbClr val="2a78d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2_Trend!$A$6:$A$31</c:f>
              <c:strCache>
                <c:ptCount val="26"/>
                <c:pt idx="0">
                  <c:v>Jul 2015</c:v>
                </c:pt>
                <c:pt idx="1">
                  <c:v>Aug 2015</c:v>
                </c:pt>
                <c:pt idx="2">
                  <c:v>Sep 2015</c:v>
                </c:pt>
                <c:pt idx="3">
                  <c:v>Oct 2015</c:v>
                </c:pt>
                <c:pt idx="4">
                  <c:v>Nov 2015</c:v>
                </c:pt>
                <c:pt idx="5">
                  <c:v>Dec 2015</c:v>
                </c:pt>
                <c:pt idx="6">
                  <c:v>Jan 2016</c:v>
                </c:pt>
                <c:pt idx="7">
                  <c:v>Feb 2016</c:v>
                </c:pt>
                <c:pt idx="8">
                  <c:v>Mar 2016</c:v>
                </c:pt>
                <c:pt idx="9">
                  <c:v>Apr 2016</c:v>
                </c:pt>
                <c:pt idx="10">
                  <c:v>May 2016</c:v>
                </c:pt>
                <c:pt idx="11">
                  <c:v>Jun 2016</c:v>
                </c:pt>
                <c:pt idx="12">
                  <c:v>Jul 2016</c:v>
                </c:pt>
                <c:pt idx="13">
                  <c:v>Aug 2016</c:v>
                </c:pt>
                <c:pt idx="14">
                  <c:v>Sep 2016</c:v>
                </c:pt>
                <c:pt idx="15">
                  <c:v>Oct 2016</c:v>
                </c:pt>
                <c:pt idx="16">
                  <c:v>Nov 2016</c:v>
                </c:pt>
                <c:pt idx="17">
                  <c:v>Dec 2016</c:v>
                </c:pt>
                <c:pt idx="18">
                  <c:v>Jan 2017</c:v>
                </c:pt>
                <c:pt idx="19">
                  <c:v>Feb 2017</c:v>
                </c:pt>
                <c:pt idx="20">
                  <c:v>Mar 2017</c:v>
                </c:pt>
                <c:pt idx="21">
                  <c:v>Apr 2017</c:v>
                </c:pt>
                <c:pt idx="22">
                  <c:v>May 2017</c:v>
                </c:pt>
                <c:pt idx="23">
                  <c:v>Jun 2017</c:v>
                </c:pt>
                <c:pt idx="24">
                  <c:v>Jul 2017</c:v>
                </c:pt>
                <c:pt idx="25">
                  <c:v>Aug 2017</c:v>
                </c:pt>
              </c:strCache>
            </c:strRef>
          </c:cat>
          <c:val>
            <c:numRef>
              <c:f>2_Trend!$F$6:$F$31</c:f>
              <c:numCache>
                <c:formatCode>0.0%</c:formatCode>
                <c:ptCount val="26"/>
                <c:pt idx="0">
                  <c:v>0.672636103151863</c:v>
                </c:pt>
                <c:pt idx="1">
                  <c:v>0.497978981406629</c:v>
                </c:pt>
                <c:pt idx="2">
                  <c:v>0.437570942111237</c:v>
                </c:pt>
                <c:pt idx="3">
                  <c:v>0.390597279716144</c:v>
                </c:pt>
                <c:pt idx="4">
                  <c:v>0.2441200324412</c:v>
                </c:pt>
                <c:pt idx="5">
                  <c:v>0.405093996361431</c:v>
                </c:pt>
                <c:pt idx="6">
                  <c:v>0.321114369501466</c:v>
                </c:pt>
                <c:pt idx="7">
                  <c:v>0.392811839323467</c:v>
                </c:pt>
                <c:pt idx="8">
                  <c:v>0.364144736842105</c:v>
                </c:pt>
                <c:pt idx="9">
                  <c:v>0.432265317594154</c:v>
                </c:pt>
                <c:pt idx="10">
                  <c:v>0.390961067247482</c:v>
                </c:pt>
                <c:pt idx="11">
                  <c:v>0.438663606222902</c:v>
                </c:pt>
                <c:pt idx="12">
                  <c:v>0.332798974030138</c:v>
                </c:pt>
                <c:pt idx="13">
                  <c:v>0.370029673590504</c:v>
                </c:pt>
                <c:pt idx="14">
                  <c:v>0.40511892450879</c:v>
                </c:pt>
                <c:pt idx="15">
                  <c:v>0.462250712250712</c:v>
                </c:pt>
                <c:pt idx="16">
                  <c:v>0.437963261359974</c:v>
                </c:pt>
                <c:pt idx="17">
                  <c:v>0.433671399594321</c:v>
                </c:pt>
                <c:pt idx="18">
                  <c:v>0.440828402366864</c:v>
                </c:pt>
                <c:pt idx="19">
                  <c:v>0.375241779497099</c:v>
                </c:pt>
                <c:pt idx="20">
                  <c:v>0.376363100501032</c:v>
                </c:pt>
                <c:pt idx="21">
                  <c:v>0.491178726668371</c:v>
                </c:pt>
                <c:pt idx="22">
                  <c:v>0.487467018469657</c:v>
                </c:pt>
                <c:pt idx="23">
                  <c:v>0.455852674066599</c:v>
                </c:pt>
                <c:pt idx="24">
                  <c:v>0.372328458942632</c:v>
                </c:pt>
                <c:pt idx="25">
                  <c:v>0.358949727825809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2_Trend!G5</c:f>
              <c:strCache>
                <c:ptCount val="1"/>
                <c:pt idx="0">
                  <c:v>Resort Hotel</c:v>
                </c:pt>
              </c:strCache>
            </c:strRef>
          </c:tx>
          <c:spPr>
            <a:solidFill>
              <a:srgbClr val="eb6834"/>
            </a:solidFill>
            <a:ln w="21960">
              <a:solidFill>
                <a:srgbClr val="eb683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2_Trend!$A$6:$A$31</c:f>
              <c:strCache>
                <c:ptCount val="26"/>
                <c:pt idx="0">
                  <c:v>Jul 2015</c:v>
                </c:pt>
                <c:pt idx="1">
                  <c:v>Aug 2015</c:v>
                </c:pt>
                <c:pt idx="2">
                  <c:v>Sep 2015</c:v>
                </c:pt>
                <c:pt idx="3">
                  <c:v>Oct 2015</c:v>
                </c:pt>
                <c:pt idx="4">
                  <c:v>Nov 2015</c:v>
                </c:pt>
                <c:pt idx="5">
                  <c:v>Dec 2015</c:v>
                </c:pt>
                <c:pt idx="6">
                  <c:v>Jan 2016</c:v>
                </c:pt>
                <c:pt idx="7">
                  <c:v>Feb 2016</c:v>
                </c:pt>
                <c:pt idx="8">
                  <c:v>Mar 2016</c:v>
                </c:pt>
                <c:pt idx="9">
                  <c:v>Apr 2016</c:v>
                </c:pt>
                <c:pt idx="10">
                  <c:v>May 2016</c:v>
                </c:pt>
                <c:pt idx="11">
                  <c:v>Jun 2016</c:v>
                </c:pt>
                <c:pt idx="12">
                  <c:v>Jul 2016</c:v>
                </c:pt>
                <c:pt idx="13">
                  <c:v>Aug 2016</c:v>
                </c:pt>
                <c:pt idx="14">
                  <c:v>Sep 2016</c:v>
                </c:pt>
                <c:pt idx="15">
                  <c:v>Oct 2016</c:v>
                </c:pt>
                <c:pt idx="16">
                  <c:v>Nov 2016</c:v>
                </c:pt>
                <c:pt idx="17">
                  <c:v>Dec 2016</c:v>
                </c:pt>
                <c:pt idx="18">
                  <c:v>Jan 2017</c:v>
                </c:pt>
                <c:pt idx="19">
                  <c:v>Feb 2017</c:v>
                </c:pt>
                <c:pt idx="20">
                  <c:v>Mar 2017</c:v>
                </c:pt>
                <c:pt idx="21">
                  <c:v>Apr 2017</c:v>
                </c:pt>
                <c:pt idx="22">
                  <c:v>May 2017</c:v>
                </c:pt>
                <c:pt idx="23">
                  <c:v>Jun 2017</c:v>
                </c:pt>
                <c:pt idx="24">
                  <c:v>Jul 2017</c:v>
                </c:pt>
                <c:pt idx="25">
                  <c:v>Aug 2017</c:v>
                </c:pt>
              </c:strCache>
            </c:strRef>
          </c:cat>
          <c:val>
            <c:numRef>
              <c:f>2_Trend!$G$6:$G$31</c:f>
              <c:numCache>
                <c:formatCode>0.0%</c:formatCode>
                <c:ptCount val="26"/>
                <c:pt idx="0">
                  <c:v>0.2322206095791</c:v>
                </c:pt>
                <c:pt idx="1">
                  <c:v>0.259758694109297</c:v>
                </c:pt>
                <c:pt idx="2">
                  <c:v>0.347634069400631</c:v>
                </c:pt>
                <c:pt idx="3">
                  <c:v>0.261950286806883</c:v>
                </c:pt>
                <c:pt idx="4">
                  <c:v>0.167572463768116</c:v>
                </c:pt>
                <c:pt idx="5">
                  <c:v>0.24129746835443</c:v>
                </c:pt>
                <c:pt idx="6">
                  <c:v>0.134615384615385</c:v>
                </c:pt>
                <c:pt idx="7">
                  <c:v>0.267281105990783</c:v>
                </c:pt>
                <c:pt idx="8">
                  <c:v>0.207536557930259</c:v>
                </c:pt>
                <c:pt idx="9">
                  <c:v>0.279592929833958</c:v>
                </c:pt>
                <c:pt idx="10">
                  <c:v>0.265815760266371</c:v>
                </c:pt>
                <c:pt idx="11">
                  <c:v>0.274653031409788</c:v>
                </c:pt>
                <c:pt idx="12">
                  <c:v>0.316446911866759</c:v>
                </c:pt>
                <c:pt idx="13">
                  <c:v>0.343026706231454</c:v>
                </c:pt>
                <c:pt idx="14">
                  <c:v>0.298752462245568</c:v>
                </c:pt>
                <c:pt idx="15">
                  <c:v>0.285786290322581</c:v>
                </c:pt>
                <c:pt idx="16">
                  <c:v>0.206611570247934</c:v>
                </c:pt>
                <c:pt idx="17">
                  <c:v>0.236060825488776</c:v>
                </c:pt>
                <c:pt idx="18">
                  <c:v>0.15761285386381</c:v>
                </c:pt>
                <c:pt idx="19">
                  <c:v>0.245104232469994</c:v>
                </c:pt>
                <c:pt idx="20">
                  <c:v>0.253376205787781</c:v>
                </c:pt>
                <c:pt idx="21">
                  <c:v>0.308266360505167</c:v>
                </c:pt>
                <c:pt idx="22">
                  <c:v>0.31018782014798</c:v>
                </c:pt>
                <c:pt idx="23">
                  <c:v>0.376716417910448</c:v>
                </c:pt>
                <c:pt idx="24">
                  <c:v>0.376282782212087</c:v>
                </c:pt>
                <c:pt idx="25">
                  <c:v>0.385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1603792"/>
        <c:axId val="63365405"/>
      </c:lineChart>
      <c:catAx>
        <c:axId val="71603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365405"/>
        <c:crosses val="autoZero"/>
        <c:auto val="1"/>
        <c:lblAlgn val="ctr"/>
        <c:lblOffset val="100"/>
        <c:noMultiLvlLbl val="0"/>
      </c:catAx>
      <c:valAx>
        <c:axId val="63365405"/>
        <c:scaling>
          <c:orientation val="minMax"/>
          <c:max val="0.8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Cancellation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60379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Cancellation risk climbs with lead 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3_Lead_Time!F5</c:f>
              <c:strCache>
                <c:ptCount val="1"/>
                <c:pt idx="0">
                  <c:v>City Hotel</c:v>
                </c:pt>
              </c:strCache>
            </c:strRef>
          </c:tx>
          <c:spPr>
            <a:solidFill>
              <a:srgbClr val="2a78d6"/>
            </a:solidFill>
            <a:ln w="9360">
              <a:solidFill>
                <a:srgbClr val="2a78d6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3_Lead_Time!$A$6:$A$11</c:f>
              <c:strCache>
                <c:ptCount val="6"/>
                <c:pt idx="0">
                  <c:v>0–7 days</c:v>
                </c:pt>
                <c:pt idx="1">
                  <c:v>8–30 days</c:v>
                </c:pt>
                <c:pt idx="2">
                  <c:v>31–90 days</c:v>
                </c:pt>
                <c:pt idx="3">
                  <c:v>91–180 days</c:v>
                </c:pt>
                <c:pt idx="4">
                  <c:v>181–365 days</c:v>
                </c:pt>
                <c:pt idx="5">
                  <c:v>365+ days</c:v>
                </c:pt>
              </c:strCache>
            </c:strRef>
          </c:cat>
          <c:val>
            <c:numRef>
              <c:f>3_Lead_Time!$F$6:$F$11</c:f>
              <c:numCache>
                <c:formatCode>0.0%</c:formatCode>
                <c:ptCount val="6"/>
                <c:pt idx="0">
                  <c:v>0.121834999532841</c:v>
                </c:pt>
                <c:pt idx="1">
                  <c:v>0.309385216489913</c:v>
                </c:pt>
                <c:pt idx="2">
                  <c:v>0.399470517448857</c:v>
                </c:pt>
                <c:pt idx="3">
                  <c:v>0.480281225969461</c:v>
                </c:pt>
                <c:pt idx="4">
                  <c:v>0.627300829000984</c:v>
                </c:pt>
                <c:pt idx="5">
                  <c:v>0.711061783203848</c:v>
                </c:pt>
              </c:numCache>
            </c:numRef>
          </c:val>
        </c:ser>
        <c:ser>
          <c:idx val="1"/>
          <c:order val="1"/>
          <c:tx>
            <c:strRef>
              <c:f>3_Lead_Time!G5</c:f>
              <c:strCache>
                <c:ptCount val="1"/>
                <c:pt idx="0">
                  <c:v>Resort Hotel</c:v>
                </c:pt>
              </c:strCache>
            </c:strRef>
          </c:tx>
          <c:spPr>
            <a:solidFill>
              <a:srgbClr val="eb6834"/>
            </a:solidFill>
            <a:ln w="9360">
              <a:solidFill>
                <a:srgbClr val="eb6834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3_Lead_Time!$A$6:$A$11</c:f>
              <c:strCache>
                <c:ptCount val="6"/>
                <c:pt idx="0">
                  <c:v>0–7 days</c:v>
                </c:pt>
                <c:pt idx="1">
                  <c:v>8–30 days</c:v>
                </c:pt>
                <c:pt idx="2">
                  <c:v>31–90 days</c:v>
                </c:pt>
                <c:pt idx="3">
                  <c:v>91–180 days</c:v>
                </c:pt>
                <c:pt idx="4">
                  <c:v>181–365 days</c:v>
                </c:pt>
                <c:pt idx="5">
                  <c:v>365+ days</c:v>
                </c:pt>
              </c:strCache>
            </c:strRef>
          </c:cat>
          <c:val>
            <c:numRef>
              <c:f>3_Lead_Time!$G$6:$G$11</c:f>
              <c:numCache>
                <c:formatCode>0.0%</c:formatCode>
                <c:ptCount val="6"/>
                <c:pt idx="0">
                  <c:v>0.0650470219435737</c:v>
                </c:pt>
                <c:pt idx="1">
                  <c:v>0.219081823860087</c:v>
                </c:pt>
                <c:pt idx="2">
                  <c:v>0.324574431623443</c:v>
                </c:pt>
                <c:pt idx="3">
                  <c:v>0.37436084733382</c:v>
                </c:pt>
                <c:pt idx="4">
                  <c:v>0.412796273462118</c:v>
                </c:pt>
                <c:pt idx="5">
                  <c:v>0.466216216216216</c:v>
                </c:pt>
              </c:numCache>
            </c:numRef>
          </c:val>
        </c:ser>
        <c:gapWidth val="60"/>
        <c:overlap val="0"/>
        <c:axId val="40336519"/>
        <c:axId val="358734"/>
      </c:barChart>
      <c:catAx>
        <c:axId val="4033651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Days between booking and arrival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8734"/>
        <c:crosses val="autoZero"/>
        <c:auto val="1"/>
        <c:lblAlgn val="ctr"/>
        <c:lblOffset val="100"/>
        <c:noMultiLvlLbl val="0"/>
      </c:catAx>
      <c:valAx>
        <c:axId val="358734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Cancellation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33651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Share of cancelled revenue by segment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4_Segments!F5</c:f>
              <c:strCache>
                <c:ptCount val="1"/>
                <c:pt idx="0">
                  <c:v>Share of lost value</c:v>
                </c:pt>
              </c:strCache>
            </c:strRef>
          </c:tx>
          <c:spPr>
            <a:solidFill>
              <a:srgbClr val="2a78d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numFmt formatCode="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4_Segments!$A$6:$A$12</c:f>
              <c:strCache>
                <c:ptCount val="7"/>
                <c:pt idx="0">
                  <c:v>Online TA</c:v>
                </c:pt>
                <c:pt idx="1">
                  <c:v>Groups</c:v>
                </c:pt>
                <c:pt idx="2">
                  <c:v>Offline TA/TO</c:v>
                </c:pt>
                <c:pt idx="3">
                  <c:v>Direct</c:v>
                </c:pt>
                <c:pt idx="4">
                  <c:v>Corporate</c:v>
                </c:pt>
                <c:pt idx="5">
                  <c:v>Aviation</c:v>
                </c:pt>
                <c:pt idx="6">
                  <c:v>Complementary</c:v>
                </c:pt>
              </c:strCache>
            </c:strRef>
          </c:cat>
          <c:val>
            <c:numRef>
              <c:f>4_Segments!$F$6:$F$12</c:f>
              <c:numCache>
                <c:formatCode>0.0%</c:formatCode>
                <c:ptCount val="7"/>
                <c:pt idx="0">
                  <c:v>0.61163587221439</c:v>
                </c:pt>
                <c:pt idx="1">
                  <c:v>0.167478730894164</c:v>
                </c:pt>
                <c:pt idx="2">
                  <c:v>0.14872559389429</c:v>
                </c:pt>
                <c:pt idx="3">
                  <c:v>0.0594081171577993</c:v>
                </c:pt>
                <c:pt idx="4">
                  <c:v>0.0117441381421569</c:v>
                </c:pt>
                <c:pt idx="5">
                  <c:v>0.000991401099487621</c:v>
                </c:pt>
                <c:pt idx="6">
                  <c:v>1.61465977115248E-005</c:v>
                </c:pt>
              </c:numCache>
            </c:numRef>
          </c:val>
        </c:ser>
        <c:gapWidth val="50"/>
        <c:overlap val="0"/>
        <c:axId val="92196802"/>
        <c:axId val="51327680"/>
      </c:barChart>
      <c:catAx>
        <c:axId val="9219680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327680"/>
        <c:crosses val="autoZero"/>
        <c:auto val="1"/>
        <c:lblAlgn val="ctr"/>
        <c:lblOffset val="100"/>
        <c:noMultiLvlLbl val="0"/>
      </c:catAx>
      <c:valAx>
        <c:axId val="51327680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19680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Cancellation rate by segment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4_Segments!D5</c:f>
              <c:strCache>
                <c:ptCount val="1"/>
                <c:pt idx="0">
                  <c:v>Cancellation rate</c:v>
                </c:pt>
              </c:strCache>
            </c:strRef>
          </c:tx>
          <c:spPr>
            <a:solidFill>
              <a:srgbClr val="eb683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numFmt formatCode="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4_Segments!$A$6:$A$12</c:f>
              <c:strCache>
                <c:ptCount val="7"/>
                <c:pt idx="0">
                  <c:v>Online TA</c:v>
                </c:pt>
                <c:pt idx="1">
                  <c:v>Groups</c:v>
                </c:pt>
                <c:pt idx="2">
                  <c:v>Offline TA/TO</c:v>
                </c:pt>
                <c:pt idx="3">
                  <c:v>Direct</c:v>
                </c:pt>
                <c:pt idx="4">
                  <c:v>Corporate</c:v>
                </c:pt>
                <c:pt idx="5">
                  <c:v>Aviation</c:v>
                </c:pt>
                <c:pt idx="6">
                  <c:v>Complementary</c:v>
                </c:pt>
              </c:strCache>
            </c:strRef>
          </c:cat>
          <c:val>
            <c:numRef>
              <c:f>4_Segments!$D$6:$D$12</c:f>
              <c:numCache>
                <c:formatCode>0.0%</c:formatCode>
                <c:ptCount val="7"/>
                <c:pt idx="0">
                  <c:v>0.367589703588144</c:v>
                </c:pt>
                <c:pt idx="1">
                  <c:v>0.611116725619</c:v>
                </c:pt>
                <c:pt idx="2">
                  <c:v>0.343286051031802</c:v>
                </c:pt>
                <c:pt idx="3">
                  <c:v>0.153711651565729</c:v>
                </c:pt>
                <c:pt idx="4">
                  <c:v>0.187618326391518</c:v>
                </c:pt>
                <c:pt idx="5">
                  <c:v>0.221276595744681</c:v>
                </c:pt>
                <c:pt idx="6">
                  <c:v>0.122252747252747</c:v>
                </c:pt>
              </c:numCache>
            </c:numRef>
          </c:val>
        </c:ser>
        <c:gapWidth val="50"/>
        <c:overlap val="0"/>
        <c:axId val="41765078"/>
        <c:axId val="85492874"/>
      </c:barChart>
      <c:catAx>
        <c:axId val="41765078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492874"/>
        <c:crosses val="autoZero"/>
        <c:auto val="1"/>
        <c:lblAlgn val="ctr"/>
        <c:lblOffset val="100"/>
        <c:noMultiLvlLbl val="0"/>
      </c:catAx>
      <c:valAx>
        <c:axId val="85492874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76507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Cancellation rate by number of special requests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6_Guest_Signals!D17</c:f>
              <c:strCache>
                <c:ptCount val="1"/>
                <c:pt idx="0">
                  <c:v>Cancellation rate</c:v>
                </c:pt>
              </c:strCache>
            </c:strRef>
          </c:tx>
          <c:spPr>
            <a:solidFill>
              <a:srgbClr val="2a78d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numFmt formatCode="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6_Guest_Signals!$A$18:$A$21</c:f>
              <c:strCach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3+</c:v>
                </c:pt>
              </c:strCache>
            </c:strRef>
          </c:cat>
          <c:val>
            <c:numRef>
              <c:f>6_Guest_Signals!$D$18:$D$21</c:f>
              <c:numCache>
                <c:formatCode>0.0%</c:formatCode>
                <c:ptCount val="4"/>
                <c:pt idx="0">
                  <c:v>0.477684867305802</c:v>
                </c:pt>
                <c:pt idx="1">
                  <c:v>0.220474339270108</c:v>
                </c:pt>
                <c:pt idx="2">
                  <c:v>0.221278567016677</c:v>
                </c:pt>
                <c:pt idx="3">
                  <c:v>0.168058455114823</c:v>
                </c:pt>
              </c:numCache>
            </c:numRef>
          </c:val>
        </c:ser>
        <c:gapWidth val="60"/>
        <c:overlap val="0"/>
        <c:axId val="36859401"/>
        <c:axId val="20909136"/>
      </c:barChart>
      <c:catAx>
        <c:axId val="3685940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Special requests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909136"/>
        <c:crosses val="autoZero"/>
        <c:auto val="1"/>
        <c:lblAlgn val="ctr"/>
        <c:lblOffset val="100"/>
        <c:noMultiLvlLbl val="0"/>
      </c:catAx>
      <c:valAx>
        <c:axId val="20909136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Cancellation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85940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Bookings per month (average per year)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9_Seasonality!B5</c:f>
              <c:strCache>
                <c:ptCount val="1"/>
                <c:pt idx="0">
                  <c:v>City bookings / yr</c:v>
                </c:pt>
              </c:strCache>
            </c:strRef>
          </c:tx>
          <c:spPr>
            <a:solidFill>
              <a:srgbClr val="2a78d6"/>
            </a:solidFill>
            <a:ln w="47520">
              <a:solidFill>
                <a:srgbClr val="2a78d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9_Seasonality!$A$6:$A$17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9_Seasonality!$B$6:$B$17</c:f>
              <c:numCache>
                <c:formatCode>#,##0</c:formatCode>
                <c:ptCount val="12"/>
                <c:pt idx="0">
                  <c:v>1865</c:v>
                </c:pt>
                <c:pt idx="1">
                  <c:v>2475</c:v>
                </c:pt>
                <c:pt idx="2">
                  <c:v>3216</c:v>
                </c:pt>
                <c:pt idx="3">
                  <c:v>3734</c:v>
                </c:pt>
                <c:pt idx="4">
                  <c:v>4110</c:v>
                </c:pt>
                <c:pt idx="5">
                  <c:v>3942</c:v>
                </c:pt>
                <c:pt idx="6">
                  <c:v>2690</c:v>
                </c:pt>
                <c:pt idx="7">
                  <c:v>2989</c:v>
                </c:pt>
                <c:pt idx="8">
                  <c:v>3696</c:v>
                </c:pt>
                <c:pt idx="9">
                  <c:v>3797</c:v>
                </c:pt>
                <c:pt idx="10">
                  <c:v>2168</c:v>
                </c:pt>
                <c:pt idx="11">
                  <c:v>2057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9_Seasonality!C5</c:f>
              <c:strCache>
                <c:ptCount val="1"/>
                <c:pt idx="0">
                  <c:v>Resort bookings / yr</c:v>
                </c:pt>
              </c:strCache>
            </c:strRef>
          </c:tx>
          <c:spPr>
            <a:solidFill>
              <a:srgbClr val="eb6834"/>
            </a:solidFill>
            <a:ln w="47520">
              <a:solidFill>
                <a:srgbClr val="eb683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9_Seasonality!$A$6:$A$17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9_Seasonality!$C$6:$C$17</c:f>
              <c:numCache>
                <c:formatCode>#,##0</c:formatCode>
                <c:ptCount val="12"/>
                <c:pt idx="0">
                  <c:v>1096</c:v>
                </c:pt>
                <c:pt idx="1">
                  <c:v>1551</c:v>
                </c:pt>
                <c:pt idx="2">
                  <c:v>1666</c:v>
                </c:pt>
                <c:pt idx="3">
                  <c:v>1804</c:v>
                </c:pt>
                <c:pt idx="4">
                  <c:v>1780</c:v>
                </c:pt>
                <c:pt idx="5">
                  <c:v>1522</c:v>
                </c:pt>
                <c:pt idx="6">
                  <c:v>1524</c:v>
                </c:pt>
                <c:pt idx="7">
                  <c:v>1631</c:v>
                </c:pt>
                <c:pt idx="8">
                  <c:v>1554</c:v>
                </c:pt>
                <c:pt idx="9">
                  <c:v>1776</c:v>
                </c:pt>
                <c:pt idx="10">
                  <c:v>1218</c:v>
                </c:pt>
                <c:pt idx="11">
                  <c:v>1322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7319330"/>
        <c:axId val="22791977"/>
      </c:lineChart>
      <c:catAx>
        <c:axId val="3731933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791977"/>
        <c:crosses val="autoZero"/>
        <c:auto val="1"/>
        <c:lblAlgn val="ctr"/>
        <c:lblOffset val="100"/>
        <c:noMultiLvlLbl val="0"/>
      </c:catAx>
      <c:valAx>
        <c:axId val="2279197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Bookings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31933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Average price per night (€)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9_Seasonality!D5</c:f>
              <c:strCache>
                <c:ptCount val="1"/>
                <c:pt idx="0">
                  <c:v>City price (€)</c:v>
                </c:pt>
              </c:strCache>
            </c:strRef>
          </c:tx>
          <c:spPr>
            <a:solidFill>
              <a:srgbClr val="2a78d6"/>
            </a:solidFill>
            <a:ln w="47520">
              <a:solidFill>
                <a:srgbClr val="2a78d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9_Seasonality!$A$6:$A$17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9_Seasonality!$D$6:$D$17</c:f>
              <c:numCache>
                <c:formatCode>#,##0.00</c:formatCode>
                <c:ptCount val="12"/>
                <c:pt idx="0">
                  <c:v>82.92</c:v>
                </c:pt>
                <c:pt idx="1">
                  <c:v>87.29</c:v>
                </c:pt>
                <c:pt idx="2">
                  <c:v>91.15</c:v>
                </c:pt>
                <c:pt idx="3">
                  <c:v>112.24</c:v>
                </c:pt>
                <c:pt idx="4">
                  <c:v>121.63</c:v>
                </c:pt>
                <c:pt idx="5">
                  <c:v>118.15</c:v>
                </c:pt>
                <c:pt idx="6">
                  <c:v>116.23</c:v>
                </c:pt>
                <c:pt idx="7">
                  <c:v>119.01</c:v>
                </c:pt>
                <c:pt idx="8">
                  <c:v>113.15</c:v>
                </c:pt>
                <c:pt idx="9">
                  <c:v>102.96</c:v>
                </c:pt>
                <c:pt idx="10">
                  <c:v>87.83</c:v>
                </c:pt>
                <c:pt idx="11">
                  <c:v>89.04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9_Seasonality!E5</c:f>
              <c:strCache>
                <c:ptCount val="1"/>
                <c:pt idx="0">
                  <c:v>Resort price (€)</c:v>
                </c:pt>
              </c:strCache>
            </c:strRef>
          </c:tx>
          <c:spPr>
            <a:solidFill>
              <a:srgbClr val="eb6834"/>
            </a:solidFill>
            <a:ln w="47520">
              <a:solidFill>
                <a:srgbClr val="eb683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9_Seasonality!$A$6:$A$17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9_Seasonality!$E$6:$E$17</c:f>
              <c:numCache>
                <c:formatCode>#,##0.00</c:formatCode>
                <c:ptCount val="12"/>
                <c:pt idx="0">
                  <c:v>49.58</c:v>
                </c:pt>
                <c:pt idx="1">
                  <c:v>54.62</c:v>
                </c:pt>
                <c:pt idx="2">
                  <c:v>57.71</c:v>
                </c:pt>
                <c:pt idx="3">
                  <c:v>76.47</c:v>
                </c:pt>
                <c:pt idx="4">
                  <c:v>77.82</c:v>
                </c:pt>
                <c:pt idx="5">
                  <c:v>109.37</c:v>
                </c:pt>
                <c:pt idx="6">
                  <c:v>152.06</c:v>
                </c:pt>
                <c:pt idx="7">
                  <c:v>183.12</c:v>
                </c:pt>
                <c:pt idx="8">
                  <c:v>96.79</c:v>
                </c:pt>
                <c:pt idx="9">
                  <c:v>62.8</c:v>
                </c:pt>
                <c:pt idx="10">
                  <c:v>49.51</c:v>
                </c:pt>
                <c:pt idx="11">
                  <c:v>70.22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3951269"/>
        <c:axId val="42194701"/>
      </c:lineChart>
      <c:catAx>
        <c:axId val="3395126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194701"/>
        <c:crosses val="autoZero"/>
        <c:auto val="1"/>
        <c:lblAlgn val="ctr"/>
        <c:lblOffset val="100"/>
        <c:noMultiLvlLbl val="0"/>
      </c:catAx>
      <c:valAx>
        <c:axId val="4219470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€ per night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€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95126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lost to cancellations by arrival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9_Seasonality!F5</c:f>
              <c:strCache>
                <c:ptCount val="1"/>
                <c:pt idx="0">
                  <c:v>City lost value (€)</c:v>
                </c:pt>
              </c:strCache>
            </c:strRef>
          </c:tx>
          <c:spPr>
            <a:solidFill>
              <a:srgbClr val="2a78d6"/>
            </a:solidFill>
            <a:ln w="9360">
              <a:solidFill>
                <a:srgbClr val="2a78d6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9_Seasonality!$A$6:$A$17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9_Seasonality!$F$6:$F$17</c:f>
              <c:numCache>
                <c:formatCode>\€#,##0;"(€"#,##0\);\-</c:formatCode>
                <c:ptCount val="12"/>
                <c:pt idx="0">
                  <c:v>427726</c:v>
                </c:pt>
                <c:pt idx="1">
                  <c:v>521293</c:v>
                </c:pt>
                <c:pt idx="2">
                  <c:v>724873</c:v>
                </c:pt>
                <c:pt idx="3">
                  <c:v>1207445</c:v>
                </c:pt>
                <c:pt idx="4">
                  <c:v>1322498</c:v>
                </c:pt>
                <c:pt idx="5">
                  <c:v>1302896</c:v>
                </c:pt>
                <c:pt idx="6">
                  <c:v>1160168</c:v>
                </c:pt>
                <c:pt idx="7">
                  <c:v>1313548</c:v>
                </c:pt>
                <c:pt idx="8">
                  <c:v>984444</c:v>
                </c:pt>
                <c:pt idx="9">
                  <c:v>880344</c:v>
                </c:pt>
                <c:pt idx="10">
                  <c:v>480758</c:v>
                </c:pt>
                <c:pt idx="11">
                  <c:v>553666</c:v>
                </c:pt>
              </c:numCache>
            </c:numRef>
          </c:val>
        </c:ser>
        <c:ser>
          <c:idx val="1"/>
          <c:order val="1"/>
          <c:tx>
            <c:strRef>
              <c:f>9_Seasonality!G5</c:f>
              <c:strCache>
                <c:ptCount val="1"/>
                <c:pt idx="0">
                  <c:v>Resort lost value (€)</c:v>
                </c:pt>
              </c:strCache>
            </c:strRef>
          </c:tx>
          <c:spPr>
            <a:solidFill>
              <a:srgbClr val="eb6834"/>
            </a:solidFill>
            <a:ln w="9360">
              <a:solidFill>
                <a:srgbClr val="eb6834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9_Seasonality!$A$6:$A$17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9_Seasonality!$G$6:$G$17</c:f>
              <c:numCache>
                <c:formatCode>\€#,##0;"(€"#,##0\);\-</c:formatCode>
                <c:ptCount val="12"/>
                <c:pt idx="0">
                  <c:v>68674</c:v>
                </c:pt>
                <c:pt idx="1">
                  <c:v>150138</c:v>
                </c:pt>
                <c:pt idx="2">
                  <c:v>256849</c:v>
                </c:pt>
                <c:pt idx="3">
                  <c:v>403164</c:v>
                </c:pt>
                <c:pt idx="4">
                  <c:v>390414</c:v>
                </c:pt>
                <c:pt idx="5">
                  <c:v>613201</c:v>
                </c:pt>
                <c:pt idx="6">
                  <c:v>1327149</c:v>
                </c:pt>
                <c:pt idx="7">
                  <c:v>1714010</c:v>
                </c:pt>
                <c:pt idx="8">
                  <c:v>403210</c:v>
                </c:pt>
                <c:pt idx="9">
                  <c:v>272389</c:v>
                </c:pt>
                <c:pt idx="10">
                  <c:v>83845</c:v>
                </c:pt>
                <c:pt idx="11">
                  <c:v>159134</c:v>
                </c:pt>
              </c:numCache>
            </c:numRef>
          </c:val>
        </c:ser>
        <c:gapWidth val="50"/>
        <c:overlap val="0"/>
        <c:axId val="75672976"/>
        <c:axId val="5367780"/>
      </c:barChart>
      <c:catAx>
        <c:axId val="75672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67780"/>
        <c:crosses val="autoZero"/>
        <c:auto val="1"/>
        <c:lblAlgn val="ctr"/>
        <c:lblOffset val="100"/>
        <c:noMultiLvlLbl val="0"/>
      </c:catAx>
      <c:valAx>
        <c:axId val="536778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€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€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67297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3</xdr:row>
      <xdr:rowOff>160920</xdr:rowOff>
    </xdr:from>
    <xdr:to>
      <xdr:col>16</xdr:col>
      <xdr:colOff>39240</xdr:colOff>
      <xdr:row>16</xdr:row>
      <xdr:rowOff>2880</xdr:rowOff>
    </xdr:to>
    <xdr:graphicFrame>
      <xdr:nvGraphicFramePr>
        <xdr:cNvPr id="0" name="Chart 1"/>
        <xdr:cNvGraphicFramePr/>
      </xdr:nvGraphicFramePr>
      <xdr:xfrm>
        <a:off x="11043360" y="762120"/>
        <a:ext cx="43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3</xdr:row>
      <xdr:rowOff>160920</xdr:rowOff>
    </xdr:from>
    <xdr:to>
      <xdr:col>20</xdr:col>
      <xdr:colOff>581400</xdr:colOff>
      <xdr:row>19</xdr:row>
      <xdr:rowOff>162000</xdr:rowOff>
    </xdr:to>
    <xdr:graphicFrame>
      <xdr:nvGraphicFramePr>
        <xdr:cNvPr id="1" name="Chart 1"/>
        <xdr:cNvGraphicFramePr/>
      </xdr:nvGraphicFramePr>
      <xdr:xfrm>
        <a:off x="7095960" y="76212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3</xdr:row>
      <xdr:rowOff>160920</xdr:rowOff>
    </xdr:from>
    <xdr:to>
      <xdr:col>19</xdr:col>
      <xdr:colOff>364680</xdr:colOff>
      <xdr:row>18</xdr:row>
      <xdr:rowOff>172440</xdr:rowOff>
    </xdr:to>
    <xdr:graphicFrame>
      <xdr:nvGraphicFramePr>
        <xdr:cNvPr id="2" name="Chart 1"/>
        <xdr:cNvGraphicFramePr/>
      </xdr:nvGraphicFramePr>
      <xdr:xfrm>
        <a:off x="7941960" y="762120"/>
        <a:ext cx="647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3</xdr:row>
      <xdr:rowOff>160920</xdr:rowOff>
    </xdr:from>
    <xdr:to>
      <xdr:col>16</xdr:col>
      <xdr:colOff>255960</xdr:colOff>
      <xdr:row>17</xdr:row>
      <xdr:rowOff>182880</xdr:rowOff>
    </xdr:to>
    <xdr:graphicFrame>
      <xdr:nvGraphicFramePr>
        <xdr:cNvPr id="3" name="Chart 1"/>
        <xdr:cNvGraphicFramePr/>
      </xdr:nvGraphicFramePr>
      <xdr:xfrm>
        <a:off x="7095960" y="76212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20</xdr:row>
      <xdr:rowOff>160920</xdr:rowOff>
    </xdr:from>
    <xdr:to>
      <xdr:col>16</xdr:col>
      <xdr:colOff>255960</xdr:colOff>
      <xdr:row>35</xdr:row>
      <xdr:rowOff>182880</xdr:rowOff>
    </xdr:to>
    <xdr:graphicFrame>
      <xdr:nvGraphicFramePr>
        <xdr:cNvPr id="4" name="Chart 2"/>
        <xdr:cNvGraphicFramePr/>
      </xdr:nvGraphicFramePr>
      <xdr:xfrm>
        <a:off x="7095960" y="419112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3</xdr:row>
      <xdr:rowOff>160920</xdr:rowOff>
    </xdr:from>
    <xdr:to>
      <xdr:col>14</xdr:col>
      <xdr:colOff>147600</xdr:colOff>
      <xdr:row>16</xdr:row>
      <xdr:rowOff>373320</xdr:rowOff>
    </xdr:to>
    <xdr:graphicFrame>
      <xdr:nvGraphicFramePr>
        <xdr:cNvPr id="5" name="Chart 1"/>
        <xdr:cNvGraphicFramePr/>
      </xdr:nvGraphicFramePr>
      <xdr:xfrm>
        <a:off x="5827320" y="76212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3</xdr:row>
      <xdr:rowOff>160920</xdr:rowOff>
    </xdr:from>
    <xdr:to>
      <xdr:col>19</xdr:col>
      <xdr:colOff>255960</xdr:colOff>
      <xdr:row>17</xdr:row>
      <xdr:rowOff>182880</xdr:rowOff>
    </xdr:to>
    <xdr:graphicFrame>
      <xdr:nvGraphicFramePr>
        <xdr:cNvPr id="6" name="Chart 1"/>
        <xdr:cNvGraphicFramePr/>
      </xdr:nvGraphicFramePr>
      <xdr:xfrm>
        <a:off x="10267920" y="76212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20</xdr:row>
      <xdr:rowOff>160560</xdr:rowOff>
    </xdr:from>
    <xdr:to>
      <xdr:col>19</xdr:col>
      <xdr:colOff>255960</xdr:colOff>
      <xdr:row>35</xdr:row>
      <xdr:rowOff>182880</xdr:rowOff>
    </xdr:to>
    <xdr:graphicFrame>
      <xdr:nvGraphicFramePr>
        <xdr:cNvPr id="7" name="Chart 2"/>
        <xdr:cNvGraphicFramePr/>
      </xdr:nvGraphicFramePr>
      <xdr:xfrm>
        <a:off x="10267920" y="438156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0</xdr:colOff>
      <xdr:row>37</xdr:row>
      <xdr:rowOff>160920</xdr:rowOff>
    </xdr:from>
    <xdr:to>
      <xdr:col>19</xdr:col>
      <xdr:colOff>255960</xdr:colOff>
      <xdr:row>52</xdr:row>
      <xdr:rowOff>182880</xdr:rowOff>
    </xdr:to>
    <xdr:graphicFrame>
      <xdr:nvGraphicFramePr>
        <xdr:cNvPr id="8" name="Chart 3"/>
        <xdr:cNvGraphicFramePr/>
      </xdr:nvGraphicFramePr>
      <xdr:xfrm>
        <a:off x="10267920" y="762012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otel_Booking_Analysis.xlsx" TargetMode="External"/><Relationship Id="rId2" Type="http://schemas.openxmlformats.org/officeDocument/2006/relationships/hyperlink" Target="Hotel_Booking_Analysis.xlsx" TargetMode="External"/><Relationship Id="rId3" Type="http://schemas.openxmlformats.org/officeDocument/2006/relationships/hyperlink" Target="Hotel_Booking_Analysis.xlsx" TargetMode="External"/><Relationship Id="rId4" Type="http://schemas.openxmlformats.org/officeDocument/2006/relationships/hyperlink" Target="Hotel_Booking_Analysis.xlsx" TargetMode="External"/><Relationship Id="rId5" Type="http://schemas.openxmlformats.org/officeDocument/2006/relationships/hyperlink" Target="Hotel_Booking_Analysis.xlsx" TargetMode="External"/><Relationship Id="rId6" Type="http://schemas.openxmlformats.org/officeDocument/2006/relationships/hyperlink" Target="Hotel_Booking_Analysis.xlsx" TargetMode="External"/><Relationship Id="rId7" Type="http://schemas.openxmlformats.org/officeDocument/2006/relationships/hyperlink" Target="Hotel_Booking_Analysis.xlsx" TargetMode="External"/><Relationship Id="rId8" Type="http://schemas.openxmlformats.org/officeDocument/2006/relationships/hyperlink" Target="Hotel_Booking_Analysis.xlsx" TargetMode="External"/><Relationship Id="rId9" Type="http://schemas.openxmlformats.org/officeDocument/2006/relationships/hyperlink" Target="Hotel_Booking_Analysis.xlsx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8"/>
    <col collapsed="false" customWidth="true" hidden="false" outlineLevel="0" max="3" min="3" style="0" width="6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5" t="n">
        <f aca="false">1_Overview!B8</f>
        <v>119208</v>
      </c>
      <c r="C5" s="6" t="s">
        <v>6</v>
      </c>
    </row>
    <row r="6" customFormat="false" ht="15" hidden="false" customHeight="false" outlineLevel="0" collapsed="false">
      <c r="A6" s="4" t="s">
        <v>7</v>
      </c>
      <c r="B6" s="7" t="n">
        <f aca="false">1_Overview!D8</f>
        <v>0.370763707133749</v>
      </c>
      <c r="C6" s="6" t="s">
        <v>6</v>
      </c>
    </row>
    <row r="7" customFormat="false" ht="15" hidden="false" customHeight="false" outlineLevel="0" collapsed="false">
      <c r="A7" s="4" t="s">
        <v>8</v>
      </c>
      <c r="B7" s="7" t="n">
        <f aca="false">1_Overview!D6</f>
        <v>0.417851999696824</v>
      </c>
      <c r="C7" s="6" t="s">
        <v>6</v>
      </c>
    </row>
    <row r="8" customFormat="false" ht="15" hidden="false" customHeight="false" outlineLevel="0" collapsed="false">
      <c r="A8" s="4" t="s">
        <v>9</v>
      </c>
      <c r="B8" s="7" t="n">
        <f aca="false">1_Overview!D7</f>
        <v>0.277680667232682</v>
      </c>
      <c r="C8" s="6" t="s">
        <v>6</v>
      </c>
    </row>
    <row r="9" customFormat="false" ht="15" hidden="false" customHeight="false" outlineLevel="0" collapsed="false">
      <c r="A9" s="4" t="s">
        <v>10</v>
      </c>
      <c r="B9" s="8" t="n">
        <f aca="false">1_Overview!C14</f>
        <v>16721837</v>
      </c>
      <c r="C9" s="6" t="s">
        <v>6</v>
      </c>
    </row>
    <row r="10" customFormat="false" ht="15" hidden="false" customHeight="false" outlineLevel="0" collapsed="false">
      <c r="A10" s="4" t="s">
        <v>11</v>
      </c>
      <c r="B10" s="7" t="n">
        <f aca="false">1_Overview!D14</f>
        <v>0.3915312982358</v>
      </c>
      <c r="C10" s="6" t="s">
        <v>6</v>
      </c>
    </row>
    <row r="11" customFormat="false" ht="15" hidden="false" customHeight="false" outlineLevel="0" collapsed="false">
      <c r="A11" s="4" t="s">
        <v>12</v>
      </c>
      <c r="B11" s="8" t="n">
        <f aca="false">1_Overview!E14</f>
        <v>7717770.92307692</v>
      </c>
      <c r="C11" s="6" t="s">
        <v>6</v>
      </c>
    </row>
    <row r="12" customFormat="false" ht="15" hidden="false" customHeight="false" outlineLevel="0" collapsed="false">
      <c r="A12" s="4" t="s">
        <v>13</v>
      </c>
      <c r="B12" s="7" t="n">
        <f aca="false">3_Lead_Time!H6</f>
        <v>0.0960020371785078</v>
      </c>
      <c r="C12" s="6" t="s">
        <v>14</v>
      </c>
    </row>
    <row r="13" customFormat="false" ht="15" hidden="false" customHeight="false" outlineLevel="0" collapsed="false">
      <c r="A13" s="4" t="s">
        <v>15</v>
      </c>
      <c r="B13" s="7" t="n">
        <f aca="false">3_Lead_Time!H10</f>
        <v>0.5545906283379</v>
      </c>
      <c r="C13" s="6" t="s">
        <v>14</v>
      </c>
    </row>
    <row r="14" customFormat="false" ht="15" hidden="false" customHeight="false" outlineLevel="0" collapsed="false">
      <c r="A14" s="4" t="s">
        <v>16</v>
      </c>
      <c r="B14" s="7" t="n">
        <f aca="false">5_Deposit!D6</f>
        <v>0.993624023035788</v>
      </c>
      <c r="C14" s="6" t="s">
        <v>17</v>
      </c>
    </row>
    <row r="15" customFormat="false" ht="15" hidden="false" customHeight="false" outlineLevel="0" collapsed="false">
      <c r="A15" s="4" t="s">
        <v>18</v>
      </c>
      <c r="B15" s="7" t="n">
        <f aca="false">4_Segments!F6</f>
        <v>0.61163587221439</v>
      </c>
      <c r="C15" s="6" t="s">
        <v>19</v>
      </c>
    </row>
    <row r="18" customFormat="false" ht="15" hidden="false" customHeight="false" outlineLevel="0" collapsed="false">
      <c r="A18" s="9" t="s">
        <v>20</v>
      </c>
    </row>
    <row r="19" customFormat="false" ht="15" hidden="false" customHeight="false" outlineLevel="0" collapsed="false">
      <c r="A19" s="10" t="s">
        <v>21</v>
      </c>
      <c r="B19" s="11" t="s">
        <v>22</v>
      </c>
    </row>
    <row r="20" customFormat="false" ht="15" hidden="false" customHeight="false" outlineLevel="0" collapsed="false">
      <c r="A20" s="10" t="s">
        <v>23</v>
      </c>
      <c r="B20" s="11" t="s">
        <v>24</v>
      </c>
    </row>
    <row r="21" customFormat="false" ht="15" hidden="false" customHeight="false" outlineLevel="0" collapsed="false">
      <c r="A21" s="10" t="s">
        <v>25</v>
      </c>
      <c r="B21" s="11" t="s">
        <v>26</v>
      </c>
    </row>
    <row r="22" customFormat="false" ht="15" hidden="false" customHeight="false" outlineLevel="0" collapsed="false">
      <c r="A22" s="10" t="s">
        <v>27</v>
      </c>
      <c r="B22" s="11" t="s">
        <v>28</v>
      </c>
    </row>
    <row r="23" customFormat="false" ht="15" hidden="false" customHeight="false" outlineLevel="0" collapsed="false">
      <c r="A23" s="10" t="s">
        <v>29</v>
      </c>
      <c r="B23" s="11" t="s">
        <v>30</v>
      </c>
    </row>
    <row r="24" customFormat="false" ht="15" hidden="false" customHeight="false" outlineLevel="0" collapsed="false">
      <c r="A24" s="10" t="s">
        <v>31</v>
      </c>
      <c r="B24" s="11" t="s">
        <v>32</v>
      </c>
    </row>
    <row r="25" customFormat="false" ht="15" hidden="false" customHeight="false" outlineLevel="0" collapsed="false">
      <c r="A25" s="10" t="s">
        <v>33</v>
      </c>
      <c r="B25" s="11" t="s">
        <v>34</v>
      </c>
    </row>
    <row r="26" customFormat="false" ht="15" hidden="false" customHeight="false" outlineLevel="0" collapsed="false">
      <c r="A26" s="10" t="s">
        <v>35</v>
      </c>
      <c r="B26" s="11" t="s">
        <v>36</v>
      </c>
    </row>
    <row r="27" customFormat="false" ht="15" hidden="false" customHeight="false" outlineLevel="0" collapsed="false">
      <c r="A27" s="10" t="s">
        <v>37</v>
      </c>
      <c r="B27" s="11" t="s">
        <v>38</v>
      </c>
    </row>
    <row r="29" customFormat="false" ht="15" hidden="false" customHeight="false" outlineLevel="0" collapsed="false">
      <c r="A29" s="9" t="s">
        <v>39</v>
      </c>
    </row>
    <row r="30" customFormat="false" ht="15" hidden="false" customHeight="false" outlineLevel="0" collapsed="false">
      <c r="A30" s="12" t="s">
        <v>40</v>
      </c>
    </row>
    <row r="31" customFormat="false" ht="15" hidden="false" customHeight="false" outlineLevel="0" collapsed="false">
      <c r="A31" s="13" t="s">
        <v>41</v>
      </c>
    </row>
    <row r="32" customFormat="false" ht="15" hidden="false" customHeight="false" outlineLevel="0" collapsed="false">
      <c r="A32" s="14" t="s">
        <v>42</v>
      </c>
    </row>
  </sheetData>
  <hyperlinks>
    <hyperlink ref="A19" r:id="rId1" location="'1_Overview'!A1" display="1 Overview"/>
    <hyperlink ref="A20" r:id="rId2" location="'2_Trend'!A1" display="2 Trend"/>
    <hyperlink ref="A21" r:id="rId3" location="'3_Lead_Time'!A1" display="3 Lead Time"/>
    <hyperlink ref="A22" r:id="rId4" location="'4_Segments'!A1" display="4 Segments"/>
    <hyperlink ref="A23" r:id="rId5" location="'5_Deposit'!A1" display="5 Deposit"/>
    <hyperlink ref="A24" r:id="rId6" location="'6_Guest_Signals'!A1" display="6 Guest Signals"/>
    <hyperlink ref="A25" r:id="rId7" location="'7_Countries'!A1" display="7 Countries"/>
    <hyperlink ref="A26" r:id="rId8" location="'8_Heatmap'!A1" display="8 Heatmap"/>
    <hyperlink ref="A27" r:id="rId9" location="'9_Seasonality'!A1" display="9 Seasonality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6" min="3" style="0" width="18"/>
    <col collapsed="false" customWidth="true" hidden="false" outlineLevel="0" max="7" min="7" style="0" width="14"/>
    <col collapsed="false" customWidth="true" hidden="false" outlineLevel="0" max="8" min="8" style="0" width="30"/>
  </cols>
  <sheetData>
    <row r="1" customFormat="false" ht="17.35" hidden="false" customHeight="false" outlineLevel="0" collapsed="false">
      <c r="A1" s="15" t="s">
        <v>43</v>
      </c>
    </row>
    <row r="2" customFormat="false" ht="15" hidden="false" customHeight="false" outlineLevel="0" collapsed="false">
      <c r="A2" s="2" t="s">
        <v>44</v>
      </c>
    </row>
    <row r="3" customFormat="false" ht="15" hidden="false" customHeight="false" outlineLevel="0" collapsed="false">
      <c r="A3" s="16" t="s">
        <v>45</v>
      </c>
    </row>
    <row r="5" customFormat="false" ht="30" hidden="false" customHeight="true" outlineLevel="0" collapsed="false">
      <c r="A5" s="3" t="s">
        <v>46</v>
      </c>
      <c r="B5" s="3" t="s">
        <v>47</v>
      </c>
      <c r="C5" s="3" t="s">
        <v>48</v>
      </c>
      <c r="D5" s="3" t="s">
        <v>49</v>
      </c>
      <c r="E5" s="3" t="s">
        <v>50</v>
      </c>
      <c r="F5" s="3" t="s">
        <v>51</v>
      </c>
      <c r="G5" s="3" t="s">
        <v>52</v>
      </c>
    </row>
    <row r="6" customFormat="false" ht="15" hidden="false" customHeight="false" outlineLevel="0" collapsed="false">
      <c r="A6" s="4" t="s">
        <v>53</v>
      </c>
      <c r="B6" s="17" t="n">
        <v>79162</v>
      </c>
      <c r="C6" s="17" t="n">
        <v>33078</v>
      </c>
      <c r="D6" s="18" t="n">
        <f aca="false">C6/B6</f>
        <v>0.417851999696824</v>
      </c>
      <c r="E6" s="19" t="n">
        <v>105.44</v>
      </c>
      <c r="F6" s="20" t="n">
        <v>109.9</v>
      </c>
      <c r="G6" s="19" t="n">
        <v>2.97</v>
      </c>
    </row>
    <row r="7" customFormat="false" ht="15" hidden="false" customHeight="false" outlineLevel="0" collapsed="false">
      <c r="A7" s="4" t="s">
        <v>54</v>
      </c>
      <c r="B7" s="17" t="n">
        <v>40046</v>
      </c>
      <c r="C7" s="17" t="n">
        <v>11120</v>
      </c>
      <c r="D7" s="18" t="n">
        <f aca="false">C7/B7</f>
        <v>0.277680667232682</v>
      </c>
      <c r="E7" s="19" t="n">
        <v>94.99</v>
      </c>
      <c r="F7" s="20" t="n">
        <v>92.7</v>
      </c>
      <c r="G7" s="19" t="n">
        <v>4.32</v>
      </c>
    </row>
    <row r="8" customFormat="false" ht="15" hidden="false" customHeight="false" outlineLevel="0" collapsed="false">
      <c r="A8" s="21" t="s">
        <v>55</v>
      </c>
      <c r="B8" s="22" t="n">
        <f aca="false">SUM(B6:B7)</f>
        <v>119208</v>
      </c>
      <c r="C8" s="22" t="n">
        <f aca="false">SUM(C6:C7)</f>
        <v>44198</v>
      </c>
      <c r="D8" s="23" t="n">
        <f aca="false">C8/B8</f>
        <v>0.370763707133749</v>
      </c>
      <c r="E8" s="24" t="n">
        <f aca="false">SUMPRODUCT($B$6:$B$7,E6:E7)/$B$8</f>
        <v>101.929491477082</v>
      </c>
      <c r="F8" s="25" t="n">
        <f aca="false">SUMPRODUCT($B$6:$B$7,F6:F7)/$B$8</f>
        <v>104.121938124958</v>
      </c>
      <c r="G8" s="24" t="n">
        <f aca="false">SUMPRODUCT($B$6:$B$7,G6:G7)/$B$8</f>
        <v>3.4235106704248</v>
      </c>
    </row>
    <row r="10" customFormat="false" ht="15" hidden="false" customHeight="false" outlineLevel="0" collapsed="false">
      <c r="G10" s="9" t="s">
        <v>56</v>
      </c>
    </row>
    <row r="11" customFormat="false" ht="30" hidden="false" customHeight="true" outlineLevel="0" collapsed="false">
      <c r="A11" s="3" t="s">
        <v>46</v>
      </c>
      <c r="B11" s="3" t="s">
        <v>57</v>
      </c>
      <c r="C11" s="3" t="s">
        <v>58</v>
      </c>
      <c r="D11" s="3" t="s">
        <v>59</v>
      </c>
      <c r="E11" s="3" t="s">
        <v>60</v>
      </c>
      <c r="G11" s="26" t="n">
        <v>26</v>
      </c>
      <c r="H11" s="2" t="s">
        <v>61</v>
      </c>
    </row>
    <row r="12" customFormat="false" ht="15" hidden="false" customHeight="false" outlineLevel="0" collapsed="false">
      <c r="A12" s="4" t="s">
        <v>53</v>
      </c>
      <c r="B12" s="27" t="n">
        <v>25265002</v>
      </c>
      <c r="C12" s="27" t="n">
        <v>10879660</v>
      </c>
      <c r="D12" s="18" t="n">
        <f aca="false">C12/B12</f>
        <v>0.430621774738035</v>
      </c>
      <c r="E12" s="28" t="n">
        <f aca="false">C12/$G$11*12</f>
        <v>5021381.53846154</v>
      </c>
    </row>
    <row r="13" customFormat="false" ht="15" hidden="false" customHeight="false" outlineLevel="0" collapsed="false">
      <c r="A13" s="4" t="s">
        <v>54</v>
      </c>
      <c r="B13" s="27" t="n">
        <v>17443811</v>
      </c>
      <c r="C13" s="27" t="n">
        <v>5842177</v>
      </c>
      <c r="D13" s="18" t="n">
        <f aca="false">C13/B13</f>
        <v>0.334914027674343</v>
      </c>
      <c r="E13" s="28" t="n">
        <f aca="false">C13/$G$11*12</f>
        <v>2696389.38461538</v>
      </c>
    </row>
    <row r="14" customFormat="false" ht="15" hidden="false" customHeight="false" outlineLevel="0" collapsed="false">
      <c r="A14" s="21" t="s">
        <v>55</v>
      </c>
      <c r="B14" s="29" t="n">
        <f aca="false">SUM(B12:B13)</f>
        <v>42708813</v>
      </c>
      <c r="C14" s="29" t="n">
        <f aca="false">SUM(C12:C13)</f>
        <v>16721837</v>
      </c>
      <c r="D14" s="23" t="n">
        <f aca="false">C14/B14</f>
        <v>0.3915312982358</v>
      </c>
      <c r="E14" s="29" t="n">
        <f aca="false">C14/$G$11*12</f>
        <v>7717770.92307692</v>
      </c>
    </row>
    <row r="16" customFormat="false" ht="15" hidden="false" customHeight="false" outlineLevel="0" collapsed="false">
      <c r="A16" s="2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3"/>
    <col collapsed="false" customWidth="true" hidden="false" outlineLevel="0" max="5" min="4" style="0" width="14"/>
    <col collapsed="false" customWidth="true" hidden="false" outlineLevel="0" max="7" min="6" style="0" width="12"/>
  </cols>
  <sheetData>
    <row r="1" customFormat="false" ht="17.35" hidden="false" customHeight="false" outlineLevel="0" collapsed="false">
      <c r="A1" s="15" t="s">
        <v>63</v>
      </c>
    </row>
    <row r="2" customFormat="false" ht="15" hidden="false" customHeight="false" outlineLevel="0" collapsed="false">
      <c r="A2" s="2" t="s">
        <v>64</v>
      </c>
    </row>
    <row r="3" customFormat="false" ht="15" hidden="false" customHeight="false" outlineLevel="0" collapsed="false">
      <c r="A3" s="16" t="s">
        <v>65</v>
      </c>
    </row>
    <row r="5" customFormat="false" ht="30" hidden="false" customHeight="true" outlineLevel="0" collapsed="false">
      <c r="A5" s="3" t="s">
        <v>66</v>
      </c>
      <c r="B5" s="3" t="s">
        <v>67</v>
      </c>
      <c r="C5" s="3" t="s">
        <v>68</v>
      </c>
      <c r="D5" s="3" t="s">
        <v>69</v>
      </c>
      <c r="E5" s="3" t="s">
        <v>70</v>
      </c>
      <c r="F5" s="3" t="s">
        <v>53</v>
      </c>
      <c r="G5" s="3" t="s">
        <v>54</v>
      </c>
    </row>
    <row r="6" customFormat="false" ht="15" hidden="false" customHeight="false" outlineLevel="0" collapsed="false">
      <c r="A6" s="4" t="s">
        <v>71</v>
      </c>
      <c r="B6" s="17" t="n">
        <v>1396</v>
      </c>
      <c r="C6" s="17" t="n">
        <v>939</v>
      </c>
      <c r="D6" s="17" t="n">
        <v>1378</v>
      </c>
      <c r="E6" s="17" t="n">
        <v>320</v>
      </c>
      <c r="F6" s="18" t="n">
        <f aca="false">C6/B6</f>
        <v>0.672636103151863</v>
      </c>
      <c r="G6" s="18" t="n">
        <f aca="false">E6/D6</f>
        <v>0.2322206095791</v>
      </c>
    </row>
    <row r="7" customFormat="false" ht="15" hidden="false" customHeight="false" outlineLevel="0" collapsed="false">
      <c r="A7" s="4" t="s">
        <v>72</v>
      </c>
      <c r="B7" s="17" t="n">
        <v>2474</v>
      </c>
      <c r="C7" s="17" t="n">
        <v>1232</v>
      </c>
      <c r="D7" s="17" t="n">
        <v>1409</v>
      </c>
      <c r="E7" s="17" t="n">
        <v>366</v>
      </c>
      <c r="F7" s="18" t="n">
        <f aca="false">C7/B7</f>
        <v>0.497978981406629</v>
      </c>
      <c r="G7" s="18" t="n">
        <f aca="false">E7/D7</f>
        <v>0.259758694109297</v>
      </c>
    </row>
    <row r="8" customFormat="false" ht="15" hidden="false" customHeight="false" outlineLevel="0" collapsed="false">
      <c r="A8" s="4" t="s">
        <v>73</v>
      </c>
      <c r="B8" s="17" t="n">
        <v>3524</v>
      </c>
      <c r="C8" s="17" t="n">
        <v>1542</v>
      </c>
      <c r="D8" s="17" t="n">
        <v>1585</v>
      </c>
      <c r="E8" s="17" t="n">
        <v>551</v>
      </c>
      <c r="F8" s="18" t="n">
        <f aca="false">C8/B8</f>
        <v>0.437570942111237</v>
      </c>
      <c r="G8" s="18" t="n">
        <f aca="false">E8/D8</f>
        <v>0.347634069400631</v>
      </c>
    </row>
    <row r="9" customFormat="false" ht="15" hidden="false" customHeight="false" outlineLevel="0" collapsed="false">
      <c r="A9" s="4" t="s">
        <v>74</v>
      </c>
      <c r="B9" s="17" t="n">
        <v>3382</v>
      </c>
      <c r="C9" s="17" t="n">
        <v>1321</v>
      </c>
      <c r="D9" s="17" t="n">
        <v>1569</v>
      </c>
      <c r="E9" s="17" t="n">
        <v>411</v>
      </c>
      <c r="F9" s="18" t="n">
        <f aca="false">C9/B9</f>
        <v>0.390597279716144</v>
      </c>
      <c r="G9" s="18" t="n">
        <f aca="false">E9/D9</f>
        <v>0.261950286806883</v>
      </c>
    </row>
    <row r="10" customFormat="false" ht="15" hidden="false" customHeight="false" outlineLevel="0" collapsed="false">
      <c r="A10" s="4" t="s">
        <v>75</v>
      </c>
      <c r="B10" s="17" t="n">
        <v>1233</v>
      </c>
      <c r="C10" s="17" t="n">
        <v>301</v>
      </c>
      <c r="D10" s="17" t="n">
        <v>1104</v>
      </c>
      <c r="E10" s="17" t="n">
        <v>185</v>
      </c>
      <c r="F10" s="18" t="n">
        <f aca="false">C10/B10</f>
        <v>0.2441200324412</v>
      </c>
      <c r="G10" s="18" t="n">
        <f aca="false">E10/D10</f>
        <v>0.167572463768116</v>
      </c>
    </row>
    <row r="11" customFormat="false" ht="15" hidden="false" customHeight="false" outlineLevel="0" collapsed="false">
      <c r="A11" s="4" t="s">
        <v>76</v>
      </c>
      <c r="B11" s="17" t="n">
        <v>1649</v>
      </c>
      <c r="C11" s="17" t="n">
        <v>668</v>
      </c>
      <c r="D11" s="17" t="n">
        <v>1264</v>
      </c>
      <c r="E11" s="17" t="n">
        <v>305</v>
      </c>
      <c r="F11" s="18" t="n">
        <f aca="false">C11/B11</f>
        <v>0.405093996361431</v>
      </c>
      <c r="G11" s="18" t="n">
        <f aca="false">E11/D11</f>
        <v>0.24129746835443</v>
      </c>
    </row>
    <row r="12" customFormat="false" ht="15" hidden="false" customHeight="false" outlineLevel="0" collapsed="false">
      <c r="A12" s="4" t="s">
        <v>77</v>
      </c>
      <c r="B12" s="17" t="n">
        <v>1364</v>
      </c>
      <c r="C12" s="17" t="n">
        <v>438</v>
      </c>
      <c r="D12" s="17" t="n">
        <v>884</v>
      </c>
      <c r="E12" s="17" t="n">
        <v>119</v>
      </c>
      <c r="F12" s="18" t="n">
        <f aca="false">C12/B12</f>
        <v>0.321114369501466</v>
      </c>
      <c r="G12" s="18" t="n">
        <f aca="false">E12/D12</f>
        <v>0.134615384615385</v>
      </c>
    </row>
    <row r="13" customFormat="false" ht="15" hidden="false" customHeight="false" outlineLevel="0" collapsed="false">
      <c r="A13" s="4" t="s">
        <v>78</v>
      </c>
      <c r="B13" s="17" t="n">
        <v>2365</v>
      </c>
      <c r="C13" s="17" t="n">
        <v>929</v>
      </c>
      <c r="D13" s="17" t="n">
        <v>1519</v>
      </c>
      <c r="E13" s="17" t="n">
        <v>406</v>
      </c>
      <c r="F13" s="18" t="n">
        <f aca="false">C13/B13</f>
        <v>0.392811839323467</v>
      </c>
      <c r="G13" s="18" t="n">
        <f aca="false">E13/D13</f>
        <v>0.267281105990783</v>
      </c>
    </row>
    <row r="14" customFormat="false" ht="15" hidden="false" customHeight="false" outlineLevel="0" collapsed="false">
      <c r="A14" s="4" t="s">
        <v>79</v>
      </c>
      <c r="B14" s="17" t="n">
        <v>3040</v>
      </c>
      <c r="C14" s="17" t="n">
        <v>1107</v>
      </c>
      <c r="D14" s="17" t="n">
        <v>1778</v>
      </c>
      <c r="E14" s="17" t="n">
        <v>369</v>
      </c>
      <c r="F14" s="18" t="n">
        <f aca="false">C14/B14</f>
        <v>0.364144736842105</v>
      </c>
      <c r="G14" s="18" t="n">
        <f aca="false">E14/D14</f>
        <v>0.207536557930259</v>
      </c>
    </row>
    <row r="15" customFormat="false" ht="15" hidden="false" customHeight="false" outlineLevel="0" collapsed="false">
      <c r="A15" s="4" t="s">
        <v>80</v>
      </c>
      <c r="B15" s="17" t="n">
        <v>3558</v>
      </c>
      <c r="C15" s="17" t="n">
        <v>1538</v>
      </c>
      <c r="D15" s="17" t="n">
        <v>1867</v>
      </c>
      <c r="E15" s="17" t="n">
        <v>522</v>
      </c>
      <c r="F15" s="18" t="n">
        <f aca="false">C15/B15</f>
        <v>0.432265317594154</v>
      </c>
      <c r="G15" s="18" t="n">
        <f aca="false">E15/D15</f>
        <v>0.279592929833958</v>
      </c>
    </row>
    <row r="16" customFormat="false" ht="15" hidden="false" customHeight="false" outlineLevel="0" collapsed="false">
      <c r="A16" s="4" t="s">
        <v>81</v>
      </c>
      <c r="B16" s="17" t="n">
        <v>3673</v>
      </c>
      <c r="C16" s="17" t="n">
        <v>1436</v>
      </c>
      <c r="D16" s="17" t="n">
        <v>1802</v>
      </c>
      <c r="E16" s="17" t="n">
        <v>479</v>
      </c>
      <c r="F16" s="18" t="n">
        <f aca="false">C16/B16</f>
        <v>0.390961067247482</v>
      </c>
      <c r="G16" s="18" t="n">
        <f aca="false">E16/D16</f>
        <v>0.265815760266371</v>
      </c>
    </row>
    <row r="17" customFormat="false" ht="15" hidden="false" customHeight="false" outlineLevel="0" collapsed="false">
      <c r="A17" s="4" t="s">
        <v>82</v>
      </c>
      <c r="B17" s="17" t="n">
        <v>3921</v>
      </c>
      <c r="C17" s="17" t="n">
        <v>1720</v>
      </c>
      <c r="D17" s="17" t="n">
        <v>1369</v>
      </c>
      <c r="E17" s="17" t="n">
        <v>376</v>
      </c>
      <c r="F17" s="18" t="n">
        <f aca="false">C17/B17</f>
        <v>0.438663606222902</v>
      </c>
      <c r="G17" s="18" t="n">
        <f aca="false">E17/D17</f>
        <v>0.274653031409788</v>
      </c>
    </row>
    <row r="18" customFormat="false" ht="15" hidden="false" customHeight="false" outlineLevel="0" collapsed="false">
      <c r="A18" s="4" t="s">
        <v>83</v>
      </c>
      <c r="B18" s="17" t="n">
        <v>3119</v>
      </c>
      <c r="C18" s="17" t="n">
        <v>1038</v>
      </c>
      <c r="D18" s="17" t="n">
        <v>1441</v>
      </c>
      <c r="E18" s="17" t="n">
        <v>456</v>
      </c>
      <c r="F18" s="18" t="n">
        <f aca="false">C18/B18</f>
        <v>0.332798974030138</v>
      </c>
      <c r="G18" s="18" t="n">
        <f aca="false">E18/D18</f>
        <v>0.316446911866759</v>
      </c>
    </row>
    <row r="19" customFormat="false" ht="15" hidden="false" customHeight="false" outlineLevel="0" collapsed="false">
      <c r="A19" s="4" t="s">
        <v>84</v>
      </c>
      <c r="B19" s="17" t="n">
        <v>3370</v>
      </c>
      <c r="C19" s="17" t="n">
        <v>1247</v>
      </c>
      <c r="D19" s="17" t="n">
        <v>1685</v>
      </c>
      <c r="E19" s="17" t="n">
        <v>578</v>
      </c>
      <c r="F19" s="18" t="n">
        <f aca="false">C19/B19</f>
        <v>0.370029673590504</v>
      </c>
      <c r="G19" s="18" t="n">
        <f aca="false">E19/D19</f>
        <v>0.343026706231454</v>
      </c>
    </row>
    <row r="20" customFormat="false" ht="15" hidden="false" customHeight="false" outlineLevel="0" collapsed="false">
      <c r="A20" s="4" t="s">
        <v>85</v>
      </c>
      <c r="B20" s="17" t="n">
        <v>3868</v>
      </c>
      <c r="C20" s="17" t="n">
        <v>1567</v>
      </c>
      <c r="D20" s="17" t="n">
        <v>1523</v>
      </c>
      <c r="E20" s="17" t="n">
        <v>455</v>
      </c>
      <c r="F20" s="18" t="n">
        <f aca="false">C20/B20</f>
        <v>0.40511892450879</v>
      </c>
      <c r="G20" s="18" t="n">
        <f aca="false">E20/D20</f>
        <v>0.298752462245568</v>
      </c>
    </row>
    <row r="21" customFormat="false" ht="15" hidden="false" customHeight="false" outlineLevel="0" collapsed="false">
      <c r="A21" s="4" t="s">
        <v>86</v>
      </c>
      <c r="B21" s="17" t="n">
        <v>4212</v>
      </c>
      <c r="C21" s="17" t="n">
        <v>1947</v>
      </c>
      <c r="D21" s="17" t="n">
        <v>1984</v>
      </c>
      <c r="E21" s="17" t="n">
        <v>567</v>
      </c>
      <c r="F21" s="18" t="n">
        <f aca="false">C21/B21</f>
        <v>0.462250712250712</v>
      </c>
      <c r="G21" s="18" t="n">
        <f aca="false">E21/D21</f>
        <v>0.285786290322581</v>
      </c>
    </row>
    <row r="22" customFormat="false" ht="15" hidden="false" customHeight="false" outlineLevel="0" collapsed="false">
      <c r="A22" s="4" t="s">
        <v>87</v>
      </c>
      <c r="B22" s="17" t="n">
        <v>3103</v>
      </c>
      <c r="C22" s="17" t="n">
        <v>1359</v>
      </c>
      <c r="D22" s="17" t="n">
        <v>1331</v>
      </c>
      <c r="E22" s="17" t="n">
        <v>275</v>
      </c>
      <c r="F22" s="18" t="n">
        <f aca="false">C22/B22</f>
        <v>0.437963261359974</v>
      </c>
      <c r="G22" s="18" t="n">
        <f aca="false">E22/D22</f>
        <v>0.206611570247934</v>
      </c>
    </row>
    <row r="23" customFormat="false" ht="15" hidden="false" customHeight="false" outlineLevel="0" collapsed="false">
      <c r="A23" s="4" t="s">
        <v>88</v>
      </c>
      <c r="B23" s="17" t="n">
        <v>2465</v>
      </c>
      <c r="C23" s="17" t="n">
        <v>1069</v>
      </c>
      <c r="D23" s="17" t="n">
        <v>1381</v>
      </c>
      <c r="E23" s="17" t="n">
        <v>326</v>
      </c>
      <c r="F23" s="18" t="n">
        <f aca="false">C23/B23</f>
        <v>0.433671399594321</v>
      </c>
      <c r="G23" s="18" t="n">
        <f aca="false">E23/D23</f>
        <v>0.236060825488776</v>
      </c>
    </row>
    <row r="24" customFormat="false" ht="15" hidden="false" customHeight="false" outlineLevel="0" collapsed="false">
      <c r="A24" s="4" t="s">
        <v>89</v>
      </c>
      <c r="B24" s="17" t="n">
        <v>2366</v>
      </c>
      <c r="C24" s="17" t="n">
        <v>1043</v>
      </c>
      <c r="D24" s="17" t="n">
        <v>1307</v>
      </c>
      <c r="E24" s="17" t="n">
        <v>206</v>
      </c>
      <c r="F24" s="18" t="n">
        <f aca="false">C24/B24</f>
        <v>0.440828402366864</v>
      </c>
      <c r="G24" s="18" t="n">
        <f aca="false">E24/D24</f>
        <v>0.15761285386381</v>
      </c>
    </row>
    <row r="25" customFormat="false" ht="15" hidden="false" customHeight="false" outlineLevel="0" collapsed="false">
      <c r="A25" s="4" t="s">
        <v>90</v>
      </c>
      <c r="B25" s="17" t="n">
        <v>2585</v>
      </c>
      <c r="C25" s="17" t="n">
        <v>970</v>
      </c>
      <c r="D25" s="17" t="n">
        <v>1583</v>
      </c>
      <c r="E25" s="17" t="n">
        <v>388</v>
      </c>
      <c r="F25" s="18" t="n">
        <f aca="false">C25/B25</f>
        <v>0.375241779497099</v>
      </c>
      <c r="G25" s="18" t="n">
        <f aca="false">E25/D25</f>
        <v>0.245104232469994</v>
      </c>
    </row>
    <row r="26" customFormat="false" ht="15" hidden="false" customHeight="false" outlineLevel="0" collapsed="false">
      <c r="A26" s="4" t="s">
        <v>91</v>
      </c>
      <c r="B26" s="17" t="n">
        <v>3393</v>
      </c>
      <c r="C26" s="17" t="n">
        <v>1277</v>
      </c>
      <c r="D26" s="17" t="n">
        <v>1555</v>
      </c>
      <c r="E26" s="17" t="n">
        <v>394</v>
      </c>
      <c r="F26" s="18" t="n">
        <f aca="false">C26/B26</f>
        <v>0.376363100501032</v>
      </c>
      <c r="G26" s="18" t="n">
        <f aca="false">E26/D26</f>
        <v>0.253376205787781</v>
      </c>
    </row>
    <row r="27" customFormat="false" ht="15" hidden="false" customHeight="false" outlineLevel="0" collapsed="false">
      <c r="A27" s="4" t="s">
        <v>92</v>
      </c>
      <c r="B27" s="17" t="n">
        <v>3911</v>
      </c>
      <c r="C27" s="17" t="n">
        <v>1921</v>
      </c>
      <c r="D27" s="17" t="n">
        <v>1742</v>
      </c>
      <c r="E27" s="17" t="n">
        <v>537</v>
      </c>
      <c r="F27" s="18" t="n">
        <f aca="false">C27/B27</f>
        <v>0.491178726668371</v>
      </c>
      <c r="G27" s="18" t="n">
        <f aca="false">E27/D27</f>
        <v>0.308266360505167</v>
      </c>
    </row>
    <row r="28" customFormat="false" ht="15" hidden="false" customHeight="false" outlineLevel="0" collapsed="false">
      <c r="A28" s="4" t="s">
        <v>93</v>
      </c>
      <c r="B28" s="17" t="n">
        <v>4548</v>
      </c>
      <c r="C28" s="17" t="n">
        <v>2217</v>
      </c>
      <c r="D28" s="17" t="n">
        <v>1757</v>
      </c>
      <c r="E28" s="17" t="n">
        <v>545</v>
      </c>
      <c r="F28" s="18" t="n">
        <f aca="false">C28/B28</f>
        <v>0.487467018469657</v>
      </c>
      <c r="G28" s="18" t="n">
        <f aca="false">E28/D28</f>
        <v>0.31018782014798</v>
      </c>
    </row>
    <row r="29" customFormat="false" ht="15" hidden="false" customHeight="false" outlineLevel="0" collapsed="false">
      <c r="A29" s="4" t="s">
        <v>94</v>
      </c>
      <c r="B29" s="17" t="n">
        <v>3964</v>
      </c>
      <c r="C29" s="17" t="n">
        <v>1807</v>
      </c>
      <c r="D29" s="17" t="n">
        <v>1675</v>
      </c>
      <c r="E29" s="17" t="n">
        <v>631</v>
      </c>
      <c r="F29" s="18" t="n">
        <f aca="false">C29/B29</f>
        <v>0.455852674066599</v>
      </c>
      <c r="G29" s="18" t="n">
        <f aca="false">E29/D29</f>
        <v>0.376716417910448</v>
      </c>
    </row>
    <row r="30" customFormat="false" ht="15" hidden="false" customHeight="false" outlineLevel="0" collapsed="false">
      <c r="A30" s="4" t="s">
        <v>95</v>
      </c>
      <c r="B30" s="17" t="n">
        <v>3556</v>
      </c>
      <c r="C30" s="17" t="n">
        <v>1324</v>
      </c>
      <c r="D30" s="17" t="n">
        <v>1754</v>
      </c>
      <c r="E30" s="17" t="n">
        <v>660</v>
      </c>
      <c r="F30" s="18" t="n">
        <f aca="false">C30/B30</f>
        <v>0.372328458942632</v>
      </c>
      <c r="G30" s="18" t="n">
        <f aca="false">E30/D30</f>
        <v>0.376282782212087</v>
      </c>
    </row>
    <row r="31" customFormat="false" ht="15" hidden="false" customHeight="false" outlineLevel="0" collapsed="false">
      <c r="A31" s="4" t="s">
        <v>96</v>
      </c>
      <c r="B31" s="17" t="n">
        <v>3123</v>
      </c>
      <c r="C31" s="17" t="n">
        <v>1121</v>
      </c>
      <c r="D31" s="17" t="n">
        <v>1800</v>
      </c>
      <c r="E31" s="17" t="n">
        <v>693</v>
      </c>
      <c r="F31" s="18" t="n">
        <f aca="false">C31/B31</f>
        <v>0.358949727825809</v>
      </c>
      <c r="G31" s="18" t="n">
        <f aca="false">E31/D31</f>
        <v>0.385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3"/>
    <col collapsed="false" customWidth="true" hidden="false" outlineLevel="0" max="5" min="4" style="0" width="14"/>
    <col collapsed="false" customWidth="true" hidden="false" outlineLevel="0" max="8" min="6" style="0" width="12"/>
  </cols>
  <sheetData>
    <row r="1" customFormat="false" ht="17.35" hidden="false" customHeight="false" outlineLevel="0" collapsed="false">
      <c r="A1" s="15" t="s">
        <v>97</v>
      </c>
    </row>
    <row r="2" customFormat="false" ht="15" hidden="false" customHeight="false" outlineLevel="0" collapsed="false">
      <c r="A2" s="2" t="s">
        <v>98</v>
      </c>
    </row>
    <row r="3" customFormat="false" ht="15" hidden="false" customHeight="false" outlineLevel="0" collapsed="false">
      <c r="A3" s="16" t="s">
        <v>99</v>
      </c>
    </row>
    <row r="5" customFormat="false" ht="30" hidden="false" customHeight="true" outlineLevel="0" collapsed="false">
      <c r="A5" s="3" t="s">
        <v>100</v>
      </c>
      <c r="B5" s="3" t="s">
        <v>67</v>
      </c>
      <c r="C5" s="3" t="s">
        <v>68</v>
      </c>
      <c r="D5" s="3" t="s">
        <v>69</v>
      </c>
      <c r="E5" s="3" t="s">
        <v>70</v>
      </c>
      <c r="F5" s="3" t="s">
        <v>53</v>
      </c>
      <c r="G5" s="3" t="s">
        <v>54</v>
      </c>
      <c r="H5" s="3" t="s">
        <v>101</v>
      </c>
    </row>
    <row r="6" customFormat="false" ht="15" hidden="false" customHeight="false" outlineLevel="0" collapsed="false">
      <c r="A6" s="4" t="s">
        <v>102</v>
      </c>
      <c r="B6" s="17" t="n">
        <v>10703</v>
      </c>
      <c r="C6" s="17" t="n">
        <v>1304</v>
      </c>
      <c r="D6" s="17" t="n">
        <v>8932</v>
      </c>
      <c r="E6" s="17" t="n">
        <v>581</v>
      </c>
      <c r="F6" s="18" t="n">
        <f aca="false">C6/B6</f>
        <v>0.121834999532841</v>
      </c>
      <c r="G6" s="18" t="n">
        <f aca="false">E6/D6</f>
        <v>0.0650470219435737</v>
      </c>
      <c r="H6" s="18" t="n">
        <f aca="false">(C6+E6)/(B6+D6)</f>
        <v>0.0960020371785078</v>
      </c>
    </row>
    <row r="7" customFormat="false" ht="15" hidden="false" customHeight="false" outlineLevel="0" collapsed="false">
      <c r="A7" s="4" t="s">
        <v>103</v>
      </c>
      <c r="B7" s="17" t="n">
        <v>12541</v>
      </c>
      <c r="C7" s="17" t="n">
        <v>3880</v>
      </c>
      <c r="D7" s="17" t="n">
        <v>6404</v>
      </c>
      <c r="E7" s="17" t="n">
        <v>1403</v>
      </c>
      <c r="F7" s="18" t="n">
        <f aca="false">C7/B7</f>
        <v>0.309385216489913</v>
      </c>
      <c r="G7" s="18" t="n">
        <f aca="false">E7/D7</f>
        <v>0.219081823860087</v>
      </c>
      <c r="H7" s="18" t="n">
        <f aca="false">(C7+E7)/(B7+D7)</f>
        <v>0.278859857482185</v>
      </c>
    </row>
    <row r="8" customFormat="false" ht="15" hidden="false" customHeight="false" outlineLevel="0" collapsed="false">
      <c r="A8" s="4" t="s">
        <v>104</v>
      </c>
      <c r="B8" s="17" t="n">
        <v>20775</v>
      </c>
      <c r="C8" s="17" t="n">
        <v>8299</v>
      </c>
      <c r="D8" s="17" t="n">
        <v>8753</v>
      </c>
      <c r="E8" s="17" t="n">
        <v>2841</v>
      </c>
      <c r="F8" s="18" t="n">
        <f aca="false">C8/B8</f>
        <v>0.399470517448857</v>
      </c>
      <c r="G8" s="18" t="n">
        <f aca="false">E8/D8</f>
        <v>0.324574431623443</v>
      </c>
      <c r="H8" s="18" t="n">
        <f aca="false">(C8+E8)/(B8+D8)</f>
        <v>0.377269032782444</v>
      </c>
    </row>
    <row r="9" customFormat="false" ht="15" hidden="false" customHeight="false" outlineLevel="0" collapsed="false">
      <c r="A9" s="4" t="s">
        <v>105</v>
      </c>
      <c r="B9" s="17" t="n">
        <v>18206</v>
      </c>
      <c r="C9" s="17" t="n">
        <v>8744</v>
      </c>
      <c r="D9" s="17" t="n">
        <v>8214</v>
      </c>
      <c r="E9" s="17" t="n">
        <v>3075</v>
      </c>
      <c r="F9" s="18" t="n">
        <f aca="false">C9/B9</f>
        <v>0.480281225969461</v>
      </c>
      <c r="G9" s="18" t="n">
        <f aca="false">E9/D9</f>
        <v>0.37436084733382</v>
      </c>
      <c r="H9" s="18" t="n">
        <f aca="false">(C9+E9)/(B9+D9)</f>
        <v>0.447350492051476</v>
      </c>
    </row>
    <row r="10" customFormat="false" ht="15" hidden="false" customHeight="false" outlineLevel="0" collapsed="false">
      <c r="A10" s="4" t="s">
        <v>106</v>
      </c>
      <c r="B10" s="17" t="n">
        <v>14234</v>
      </c>
      <c r="C10" s="17" t="n">
        <v>8929</v>
      </c>
      <c r="D10" s="17" t="n">
        <v>7299</v>
      </c>
      <c r="E10" s="17" t="n">
        <v>3013</v>
      </c>
      <c r="F10" s="18" t="n">
        <f aca="false">C10/B10</f>
        <v>0.627300829000984</v>
      </c>
      <c r="G10" s="18" t="n">
        <f aca="false">E10/D10</f>
        <v>0.412796273462118</v>
      </c>
      <c r="H10" s="18" t="n">
        <f aca="false">(C10+E10)/(B10+D10)</f>
        <v>0.5545906283379</v>
      </c>
    </row>
    <row r="11" customFormat="false" ht="15" hidden="false" customHeight="false" outlineLevel="0" collapsed="false">
      <c r="A11" s="4" t="s">
        <v>107</v>
      </c>
      <c r="B11" s="17" t="n">
        <v>2703</v>
      </c>
      <c r="C11" s="17" t="n">
        <v>1922</v>
      </c>
      <c r="D11" s="17" t="n">
        <v>444</v>
      </c>
      <c r="E11" s="17" t="n">
        <v>207</v>
      </c>
      <c r="F11" s="18" t="n">
        <f aca="false">C11/B11</f>
        <v>0.711061783203848</v>
      </c>
      <c r="G11" s="18" t="n">
        <f aca="false">E11/D11</f>
        <v>0.466216216216216</v>
      </c>
      <c r="H11" s="18" t="n">
        <f aca="false">(C11+E11)/(B11+D11)</f>
        <v>0.676517318080712</v>
      </c>
    </row>
  </sheetData>
  <conditionalFormatting sqref="H6:H11">
    <cfRule type="colorScale" priority="2">
      <colorScale>
        <cfvo type="num" val="0"/>
        <cfvo type="num" val="0.8"/>
        <color rgb="FFFFFFFF"/>
        <color rgb="FFE8705A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2"/>
    <col collapsed="false" customWidth="true" hidden="false" outlineLevel="0" max="5" min="4" style="0" width="16"/>
    <col collapsed="false" customWidth="true" hidden="false" outlineLevel="0" max="6" min="6" style="0" width="18"/>
  </cols>
  <sheetData>
    <row r="1" customFormat="false" ht="17.35" hidden="false" customHeight="false" outlineLevel="0" collapsed="false">
      <c r="A1" s="15" t="s">
        <v>108</v>
      </c>
    </row>
    <row r="2" customFormat="false" ht="15" hidden="false" customHeight="false" outlineLevel="0" collapsed="false">
      <c r="A2" s="2" t="s">
        <v>109</v>
      </c>
    </row>
    <row r="3" customFormat="false" ht="15" hidden="false" customHeight="false" outlineLevel="0" collapsed="false">
      <c r="A3" s="16" t="s">
        <v>110</v>
      </c>
    </row>
    <row r="5" customFormat="false" ht="30" hidden="false" customHeight="true" outlineLevel="0" collapsed="false">
      <c r="A5" s="3" t="s">
        <v>111</v>
      </c>
      <c r="B5" s="3" t="s">
        <v>47</v>
      </c>
      <c r="C5" s="3" t="s">
        <v>48</v>
      </c>
      <c r="D5" s="3" t="s">
        <v>49</v>
      </c>
      <c r="E5" s="3" t="s">
        <v>112</v>
      </c>
      <c r="F5" s="3" t="s">
        <v>113</v>
      </c>
    </row>
    <row r="6" customFormat="false" ht="15" hidden="false" customHeight="false" outlineLevel="0" collapsed="false">
      <c r="A6" s="4" t="s">
        <v>114</v>
      </c>
      <c r="B6" s="17" t="n">
        <v>56408</v>
      </c>
      <c r="C6" s="17" t="n">
        <v>20735</v>
      </c>
      <c r="D6" s="18" t="n">
        <f aca="false">C6/B6</f>
        <v>0.367589703588144</v>
      </c>
      <c r="E6" s="27" t="n">
        <v>10227646</v>
      </c>
      <c r="F6" s="18" t="n">
        <f aca="false">E6/SUM($E$6:$E$12)</f>
        <v>0.61163587221439</v>
      </c>
    </row>
    <row r="7" customFormat="false" ht="15" hidden="false" customHeight="false" outlineLevel="0" collapsed="false">
      <c r="A7" s="4" t="s">
        <v>115</v>
      </c>
      <c r="B7" s="17" t="n">
        <v>19790</v>
      </c>
      <c r="C7" s="17" t="n">
        <v>12094</v>
      </c>
      <c r="D7" s="18" t="n">
        <f aca="false">C7/B7</f>
        <v>0.611116725619</v>
      </c>
      <c r="E7" s="27" t="n">
        <v>2800544</v>
      </c>
      <c r="F7" s="18" t="n">
        <f aca="false">E7/SUM($E$6:$E$12)</f>
        <v>0.167478730894164</v>
      </c>
    </row>
    <row r="8" customFormat="false" ht="15" hidden="false" customHeight="false" outlineLevel="0" collapsed="false">
      <c r="A8" s="4" t="s">
        <v>116</v>
      </c>
      <c r="B8" s="17" t="n">
        <v>24181</v>
      </c>
      <c r="C8" s="17" t="n">
        <v>8301</v>
      </c>
      <c r="D8" s="18" t="n">
        <f aca="false">C8/B8</f>
        <v>0.343286051031802</v>
      </c>
      <c r="E8" s="27" t="n">
        <v>2486958</v>
      </c>
      <c r="F8" s="18" t="n">
        <f aca="false">E8/SUM($E$6:$E$12)</f>
        <v>0.14872559389429</v>
      </c>
    </row>
    <row r="9" customFormat="false" ht="15" hidden="false" customHeight="false" outlineLevel="0" collapsed="false">
      <c r="A9" s="4" t="s">
        <v>117</v>
      </c>
      <c r="B9" s="17" t="n">
        <v>12582</v>
      </c>
      <c r="C9" s="17" t="n">
        <v>1934</v>
      </c>
      <c r="D9" s="18" t="n">
        <f aca="false">C9/B9</f>
        <v>0.153711651565729</v>
      </c>
      <c r="E9" s="27" t="n">
        <v>993410</v>
      </c>
      <c r="F9" s="18" t="n">
        <f aca="false">E9/SUM($E$6:$E$12)</f>
        <v>0.0594081171577993</v>
      </c>
    </row>
    <row r="10" customFormat="false" ht="15" hidden="false" customHeight="false" outlineLevel="0" collapsed="false">
      <c r="A10" s="4" t="s">
        <v>118</v>
      </c>
      <c r="B10" s="17" t="n">
        <v>5282</v>
      </c>
      <c r="C10" s="17" t="n">
        <v>991</v>
      </c>
      <c r="D10" s="18" t="n">
        <f aca="false">C10/B10</f>
        <v>0.187618326391518</v>
      </c>
      <c r="E10" s="27" t="n">
        <v>196383</v>
      </c>
      <c r="F10" s="18" t="n">
        <f aca="false">E10/SUM($E$6:$E$12)</f>
        <v>0.0117441381421569</v>
      </c>
    </row>
    <row r="11" customFormat="false" ht="15" hidden="false" customHeight="false" outlineLevel="0" collapsed="false">
      <c r="A11" s="4" t="s">
        <v>119</v>
      </c>
      <c r="B11" s="17" t="n">
        <v>235</v>
      </c>
      <c r="C11" s="17" t="n">
        <v>52</v>
      </c>
      <c r="D11" s="18" t="n">
        <f aca="false">C11/B11</f>
        <v>0.221276595744681</v>
      </c>
      <c r="E11" s="27" t="n">
        <v>16578</v>
      </c>
      <c r="F11" s="18" t="n">
        <f aca="false">E11/SUM($E$6:$E$12)</f>
        <v>0.000991401099487621</v>
      </c>
    </row>
    <row r="12" customFormat="false" ht="15" hidden="false" customHeight="false" outlineLevel="0" collapsed="false">
      <c r="A12" s="4" t="s">
        <v>120</v>
      </c>
      <c r="B12" s="17" t="n">
        <v>728</v>
      </c>
      <c r="C12" s="17" t="n">
        <v>89</v>
      </c>
      <c r="D12" s="18" t="n">
        <f aca="false">C12/B12</f>
        <v>0.122252747252747</v>
      </c>
      <c r="E12" s="27" t="n">
        <v>270</v>
      </c>
      <c r="F12" s="18" t="n">
        <f aca="false">E12/SUM($E$6:$E$12)</f>
        <v>1.61465977115248E-005</v>
      </c>
    </row>
    <row r="13" customFormat="false" ht="15" hidden="false" customHeight="false" outlineLevel="0" collapsed="false">
      <c r="A13" s="21" t="s">
        <v>55</v>
      </c>
      <c r="B13" s="22" t="n">
        <f aca="false">SUM(B6:B12)</f>
        <v>119206</v>
      </c>
      <c r="C13" s="22" t="n">
        <f aca="false">SUM(C6:C12)</f>
        <v>44196</v>
      </c>
      <c r="D13" s="23" t="n">
        <f aca="false">C13/B13</f>
        <v>0.370753150009228</v>
      </c>
      <c r="E13" s="29" t="n">
        <f aca="false">SUM(E6:E12)</f>
        <v>16721789</v>
      </c>
      <c r="F13" s="23" t="n">
        <f aca="false">SUM(F6:F12)</f>
        <v>1</v>
      </c>
    </row>
  </sheetData>
  <conditionalFormatting sqref="D6:D12">
    <cfRule type="dataBar" priority="2">
      <dataBar showValue="1" minLength="10" maxLength="90">
        <cfvo type="num" val="0"/>
        <cfvo type="num" val="1"/>
        <color rgb="FFE8705A"/>
      </dataBar>
      <extLst>
        <ext xmlns:x14="http://schemas.microsoft.com/office/spreadsheetml/2009/9/main" uri="{B025F937-C7B1-47D3-B67F-A62EFF666E3E}">
          <x14:id>{87EC3A35-69C1-45D4-9600-50DDF1D74F31}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7EC3A35-69C1-45D4-9600-50DDF1D74F31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E8705A"/>
              <x14:axisColor rgb="FF000000"/>
            </x14:dataBar>
          </x14:cfRule>
          <xm:sqref>D6:D12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16"/>
  </cols>
  <sheetData>
    <row r="1" customFormat="false" ht="17.35" hidden="false" customHeight="false" outlineLevel="0" collapsed="false">
      <c r="A1" s="15" t="s">
        <v>121</v>
      </c>
    </row>
    <row r="2" customFormat="false" ht="15" hidden="false" customHeight="false" outlineLevel="0" collapsed="false">
      <c r="A2" s="2" t="s">
        <v>122</v>
      </c>
    </row>
    <row r="3" customFormat="false" ht="15" hidden="false" customHeight="false" outlineLevel="0" collapsed="false">
      <c r="A3" s="16" t="s">
        <v>123</v>
      </c>
    </row>
    <row r="5" customFormat="false" ht="30" hidden="false" customHeight="true" outlineLevel="0" collapsed="false">
      <c r="A5" s="3" t="s">
        <v>124</v>
      </c>
      <c r="B5" s="3" t="s">
        <v>47</v>
      </c>
      <c r="C5" s="3" t="s">
        <v>48</v>
      </c>
      <c r="D5" s="3" t="s">
        <v>49</v>
      </c>
    </row>
    <row r="6" customFormat="false" ht="15" hidden="false" customHeight="false" outlineLevel="0" collapsed="false">
      <c r="A6" s="4" t="s">
        <v>125</v>
      </c>
      <c r="B6" s="17" t="n">
        <v>14586</v>
      </c>
      <c r="C6" s="17" t="n">
        <v>14493</v>
      </c>
      <c r="D6" s="18" t="n">
        <f aca="false">C6/B6</f>
        <v>0.993624023035788</v>
      </c>
    </row>
    <row r="7" customFormat="false" ht="15" hidden="false" customHeight="false" outlineLevel="0" collapsed="false">
      <c r="A7" s="4" t="s">
        <v>126</v>
      </c>
      <c r="B7" s="17" t="n">
        <v>104460</v>
      </c>
      <c r="C7" s="17" t="n">
        <v>29669</v>
      </c>
      <c r="D7" s="18" t="n">
        <f aca="false">C7/B7</f>
        <v>0.284022592379858</v>
      </c>
    </row>
    <row r="8" customFormat="false" ht="15" hidden="false" customHeight="false" outlineLevel="0" collapsed="false">
      <c r="A8" s="4" t="s">
        <v>127</v>
      </c>
      <c r="B8" s="17" t="n">
        <v>162</v>
      </c>
      <c r="C8" s="17" t="n">
        <v>36</v>
      </c>
      <c r="D8" s="18" t="n">
        <f aca="false">C8/B8</f>
        <v>0.222222222222222</v>
      </c>
    </row>
    <row r="11" customFormat="false" ht="30" hidden="false" customHeight="true" outlineLevel="0" collapsed="false">
      <c r="A11" s="3" t="s">
        <v>128</v>
      </c>
      <c r="B11" s="3" t="s">
        <v>125</v>
      </c>
      <c r="C11" s="3" t="s">
        <v>129</v>
      </c>
    </row>
    <row r="12" customFormat="false" ht="15" hidden="false" customHeight="false" outlineLevel="0" collapsed="false">
      <c r="A12" s="4" t="s">
        <v>130</v>
      </c>
      <c r="B12" s="30" t="n">
        <v>0.9718</v>
      </c>
      <c r="C12" s="30" t="n">
        <v>0.3279</v>
      </c>
    </row>
    <row r="13" customFormat="false" ht="15" hidden="false" customHeight="false" outlineLevel="0" collapsed="false">
      <c r="A13" s="4" t="s">
        <v>131</v>
      </c>
      <c r="B13" s="30" t="n">
        <v>0.972</v>
      </c>
      <c r="C13" s="30" t="n">
        <v>0.2848</v>
      </c>
    </row>
    <row r="14" customFormat="false" ht="15" hidden="false" customHeight="false" outlineLevel="0" collapsed="false">
      <c r="A14" s="4" t="s">
        <v>51</v>
      </c>
      <c r="B14" s="31" t="n">
        <v>212.9211</v>
      </c>
      <c r="C14" s="31" t="n">
        <v>88.9389</v>
      </c>
    </row>
    <row r="15" customFormat="false" ht="15" hidden="false" customHeight="false" outlineLevel="0" collapsed="false">
      <c r="A15" s="4" t="s">
        <v>132</v>
      </c>
      <c r="B15" s="32" t="n">
        <v>0.0018</v>
      </c>
      <c r="C15" s="32" t="n">
        <v>0.6509</v>
      </c>
    </row>
    <row r="16" customFormat="false" ht="15" hidden="false" customHeight="false" outlineLevel="0" collapsed="false">
      <c r="A16" s="4" t="s">
        <v>133</v>
      </c>
      <c r="B16" s="30" t="n">
        <v>0.8821</v>
      </c>
      <c r="C16" s="30" t="n">
        <v>0.6337</v>
      </c>
    </row>
    <row r="18" customFormat="false" ht="15" hidden="false" customHeight="false" outlineLevel="0" collapsed="false">
      <c r="A18" s="2" t="s">
        <v>134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4" min="3" style="0" width="12"/>
    <col collapsed="false" customWidth="true" hidden="false" outlineLevel="0" max="5" min="5" style="0" width="16"/>
  </cols>
  <sheetData>
    <row r="1" customFormat="false" ht="17.35" hidden="false" customHeight="false" outlineLevel="0" collapsed="false">
      <c r="A1" s="15" t="s">
        <v>135</v>
      </c>
    </row>
    <row r="2" customFormat="false" ht="15" hidden="false" customHeight="false" outlineLevel="0" collapsed="false">
      <c r="A2" s="2" t="s">
        <v>136</v>
      </c>
    </row>
    <row r="3" customFormat="false" ht="15" hidden="false" customHeight="false" outlineLevel="0" collapsed="false">
      <c r="A3" s="16" t="s">
        <v>137</v>
      </c>
    </row>
    <row r="5" customFormat="false" ht="30" hidden="false" customHeight="true" outlineLevel="0" collapsed="false">
      <c r="A5" s="3" t="s">
        <v>138</v>
      </c>
      <c r="B5" s="3" t="s">
        <v>3</v>
      </c>
      <c r="C5" s="3" t="s">
        <v>47</v>
      </c>
      <c r="D5" s="3" t="s">
        <v>48</v>
      </c>
      <c r="E5" s="3" t="s">
        <v>49</v>
      </c>
    </row>
    <row r="6" customFormat="false" ht="15" hidden="false" customHeight="false" outlineLevel="0" collapsed="false">
      <c r="A6" s="4" t="s">
        <v>139</v>
      </c>
      <c r="B6" s="4" t="s">
        <v>140</v>
      </c>
      <c r="C6" s="17" t="n">
        <v>70199</v>
      </c>
      <c r="D6" s="17" t="n">
        <v>33533</v>
      </c>
      <c r="E6" s="18" t="n">
        <f aca="false">D6/C6</f>
        <v>0.477684867305802</v>
      </c>
    </row>
    <row r="7" customFormat="false" ht="15" hidden="false" customHeight="false" outlineLevel="0" collapsed="false">
      <c r="A7" s="4" t="s">
        <v>139</v>
      </c>
      <c r="B7" s="4" t="s">
        <v>141</v>
      </c>
      <c r="C7" s="17" t="n">
        <v>49009</v>
      </c>
      <c r="D7" s="17" t="n">
        <v>10665</v>
      </c>
      <c r="E7" s="18" t="n">
        <f aca="false">D7/C7</f>
        <v>0.217613091472995</v>
      </c>
    </row>
    <row r="8" customFormat="false" ht="15" hidden="false" customHeight="false" outlineLevel="0" collapsed="false">
      <c r="A8" s="4" t="s">
        <v>142</v>
      </c>
      <c r="B8" s="4" t="s">
        <v>140</v>
      </c>
      <c r="C8" s="17" t="n">
        <v>115454</v>
      </c>
      <c r="D8" s="17" t="n">
        <v>43648</v>
      </c>
      <c r="E8" s="18" t="n">
        <f aca="false">D8/C8</f>
        <v>0.378055329395257</v>
      </c>
    </row>
    <row r="9" customFormat="false" ht="15" hidden="false" customHeight="false" outlineLevel="0" collapsed="false">
      <c r="A9" s="4" t="s">
        <v>142</v>
      </c>
      <c r="B9" s="4" t="s">
        <v>141</v>
      </c>
      <c r="C9" s="17" t="n">
        <v>3754</v>
      </c>
      <c r="D9" s="17" t="n">
        <v>550</v>
      </c>
      <c r="E9" s="18" t="n">
        <f aca="false">D9/C9</f>
        <v>0.146510388918487</v>
      </c>
    </row>
    <row r="10" customFormat="false" ht="15" hidden="false" customHeight="false" outlineLevel="0" collapsed="false">
      <c r="A10" s="4" t="s">
        <v>143</v>
      </c>
      <c r="B10" s="4" t="s">
        <v>140</v>
      </c>
      <c r="C10" s="17" t="n">
        <v>112729</v>
      </c>
      <c r="D10" s="17" t="n">
        <v>38258</v>
      </c>
      <c r="E10" s="18" t="n">
        <f aca="false">D10/C10</f>
        <v>0.339380283689202</v>
      </c>
    </row>
    <row r="11" customFormat="false" ht="15" hidden="false" customHeight="false" outlineLevel="0" collapsed="false">
      <c r="A11" s="4" t="s">
        <v>143</v>
      </c>
      <c r="B11" s="4" t="s">
        <v>141</v>
      </c>
      <c r="C11" s="17" t="n">
        <v>6479</v>
      </c>
      <c r="D11" s="17" t="n">
        <v>5940</v>
      </c>
      <c r="E11" s="18" t="n">
        <f aca="false">D11/C11</f>
        <v>0.916808149405773</v>
      </c>
    </row>
    <row r="12" customFormat="false" ht="15" hidden="false" customHeight="false" outlineLevel="0" collapsed="false">
      <c r="A12" s="4" t="s">
        <v>144</v>
      </c>
      <c r="B12" s="4" t="s">
        <v>140</v>
      </c>
      <c r="C12" s="17" t="n">
        <v>111799</v>
      </c>
      <c r="D12" s="17" t="n">
        <v>44198</v>
      </c>
      <c r="E12" s="18" t="n">
        <f aca="false">D12/C12</f>
        <v>0.395334484208267</v>
      </c>
    </row>
    <row r="13" customFormat="false" ht="15" hidden="false" customHeight="false" outlineLevel="0" collapsed="false">
      <c r="A13" s="4" t="s">
        <v>144</v>
      </c>
      <c r="B13" s="4" t="s">
        <v>141</v>
      </c>
      <c r="C13" s="17" t="n">
        <v>7409</v>
      </c>
      <c r="D13" s="17" t="n">
        <v>0</v>
      </c>
      <c r="E13" s="18" t="n">
        <f aca="false">D13/C13</f>
        <v>0</v>
      </c>
    </row>
    <row r="15" customFormat="false" ht="15" hidden="false" customHeight="false" outlineLevel="0" collapsed="false">
      <c r="A15" s="2" t="s">
        <v>145</v>
      </c>
    </row>
    <row r="17" customFormat="false" ht="30" hidden="false" customHeight="true" outlineLevel="0" collapsed="false">
      <c r="A17" s="3" t="s">
        <v>146</v>
      </c>
      <c r="B17" s="3" t="s">
        <v>47</v>
      </c>
      <c r="C17" s="3" t="s">
        <v>48</v>
      </c>
      <c r="D17" s="3" t="s">
        <v>49</v>
      </c>
    </row>
    <row r="18" customFormat="false" ht="15" hidden="false" customHeight="false" outlineLevel="0" collapsed="false">
      <c r="A18" s="4" t="s">
        <v>147</v>
      </c>
      <c r="B18" s="17" t="n">
        <v>70199</v>
      </c>
      <c r="C18" s="17" t="n">
        <v>33533</v>
      </c>
      <c r="D18" s="18" t="n">
        <f aca="false">C18/B18</f>
        <v>0.477684867305802</v>
      </c>
    </row>
    <row r="19" customFormat="false" ht="15" hidden="false" customHeight="false" outlineLevel="0" collapsed="false">
      <c r="A19" s="4" t="s">
        <v>148</v>
      </c>
      <c r="B19" s="17" t="n">
        <v>33183</v>
      </c>
      <c r="C19" s="17" t="n">
        <v>7316</v>
      </c>
      <c r="D19" s="18" t="n">
        <f aca="false">C19/B19</f>
        <v>0.220474339270108</v>
      </c>
    </row>
    <row r="20" customFormat="false" ht="15" hidden="false" customHeight="false" outlineLevel="0" collapsed="false">
      <c r="A20" s="4" t="s">
        <v>149</v>
      </c>
      <c r="B20" s="17" t="n">
        <v>12952</v>
      </c>
      <c r="C20" s="17" t="n">
        <v>2866</v>
      </c>
      <c r="D20" s="18" t="n">
        <f aca="false">C20/B20</f>
        <v>0.221278567016677</v>
      </c>
    </row>
    <row r="21" customFormat="false" ht="15" hidden="false" customHeight="false" outlineLevel="0" collapsed="false">
      <c r="A21" s="4" t="s">
        <v>150</v>
      </c>
      <c r="B21" s="17" t="n">
        <v>2874</v>
      </c>
      <c r="C21" s="17" t="n">
        <v>483</v>
      </c>
      <c r="D21" s="18" t="n">
        <f aca="false">C21/B21</f>
        <v>0.168058455114823</v>
      </c>
    </row>
  </sheetData>
  <conditionalFormatting sqref="E6:E13">
    <cfRule type="colorScale" priority="2">
      <colorScale>
        <cfvo type="num" val="0"/>
        <cfvo type="num" val="1"/>
        <color rgb="FFFFFFFF"/>
        <color rgb="FFE8705A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2"/>
    <col collapsed="false" customWidth="true" hidden="false" outlineLevel="0" max="4" min="4" style="0" width="16"/>
    <col collapsed="false" customWidth="true" hidden="false" outlineLevel="0" max="6" min="5" style="0" width="18"/>
    <col collapsed="false" customWidth="true" hidden="false" outlineLevel="0" max="7" min="7" style="0" width="16"/>
  </cols>
  <sheetData>
    <row r="1" customFormat="false" ht="17.35" hidden="false" customHeight="false" outlineLevel="0" collapsed="false">
      <c r="A1" s="15" t="s">
        <v>151</v>
      </c>
    </row>
    <row r="2" customFormat="false" ht="15" hidden="false" customHeight="false" outlineLevel="0" collapsed="false">
      <c r="A2" s="2" t="s">
        <v>152</v>
      </c>
    </row>
    <row r="3" customFormat="false" ht="15" hidden="false" customHeight="false" outlineLevel="0" collapsed="false">
      <c r="A3" s="16" t="s">
        <v>153</v>
      </c>
    </row>
    <row r="5" customFormat="false" ht="30" hidden="false" customHeight="true" outlineLevel="0" collapsed="false">
      <c r="A5" s="3" t="s">
        <v>154</v>
      </c>
      <c r="B5" s="3" t="s">
        <v>47</v>
      </c>
      <c r="C5" s="3" t="s">
        <v>48</v>
      </c>
      <c r="D5" s="3" t="s">
        <v>49</v>
      </c>
      <c r="E5" s="3" t="s">
        <v>155</v>
      </c>
      <c r="F5" s="3" t="s">
        <v>156</v>
      </c>
      <c r="G5" s="3" t="s">
        <v>157</v>
      </c>
    </row>
    <row r="6" customFormat="false" ht="15" hidden="false" customHeight="false" outlineLevel="0" collapsed="false">
      <c r="A6" s="4" t="s">
        <v>158</v>
      </c>
      <c r="B6" s="17" t="n">
        <v>48482</v>
      </c>
      <c r="C6" s="17" t="n">
        <v>27505</v>
      </c>
      <c r="D6" s="18" t="n">
        <f aca="false">C6/B6</f>
        <v>0.567323955282373</v>
      </c>
      <c r="E6" s="17" t="n">
        <v>34307</v>
      </c>
      <c r="F6" s="17" t="n">
        <v>13366</v>
      </c>
      <c r="G6" s="18" t="n">
        <f aca="false">F6/E6</f>
        <v>0.389599790130294</v>
      </c>
    </row>
    <row r="7" customFormat="false" ht="15" hidden="false" customHeight="false" outlineLevel="0" collapsed="false">
      <c r="A7" s="4" t="s">
        <v>159</v>
      </c>
      <c r="B7" s="17" t="n">
        <v>12119</v>
      </c>
      <c r="C7" s="17" t="n">
        <v>2452</v>
      </c>
      <c r="D7" s="18" t="n">
        <f aca="false">C7/B7</f>
        <v>0.202326924663751</v>
      </c>
      <c r="E7" s="17" t="n">
        <v>11981</v>
      </c>
      <c r="F7" s="17" t="n">
        <v>2320</v>
      </c>
      <c r="G7" s="18" t="n">
        <f aca="false">F7/E7</f>
        <v>0.193639929888991</v>
      </c>
    </row>
    <row r="8" customFormat="false" ht="15" hidden="false" customHeight="false" outlineLevel="0" collapsed="false">
      <c r="A8" s="4" t="s">
        <v>160</v>
      </c>
      <c r="B8" s="17" t="n">
        <v>10401</v>
      </c>
      <c r="C8" s="17" t="n">
        <v>1933</v>
      </c>
      <c r="D8" s="18" t="n">
        <f aca="false">C8/B8</f>
        <v>0.185847514662052</v>
      </c>
      <c r="E8" s="17" t="n">
        <v>10390</v>
      </c>
      <c r="F8" s="17" t="n">
        <v>1923</v>
      </c>
      <c r="G8" s="18" t="n">
        <f aca="false">F8/E8</f>
        <v>0.185081809432146</v>
      </c>
    </row>
    <row r="9" customFormat="false" ht="15" hidden="false" customHeight="false" outlineLevel="0" collapsed="false">
      <c r="A9" s="4" t="s">
        <v>161</v>
      </c>
      <c r="B9" s="17" t="n">
        <v>8560</v>
      </c>
      <c r="C9" s="17" t="n">
        <v>2177</v>
      </c>
      <c r="D9" s="18" t="n">
        <f aca="false">C9/B9</f>
        <v>0.254322429906542</v>
      </c>
      <c r="E9" s="17" t="n">
        <v>8429</v>
      </c>
      <c r="F9" s="17" t="n">
        <v>2046</v>
      </c>
      <c r="G9" s="18" t="n">
        <f aca="false">F9/E9</f>
        <v>0.242733420334559</v>
      </c>
    </row>
    <row r="10" customFormat="false" ht="15" hidden="false" customHeight="false" outlineLevel="0" collapsed="false">
      <c r="A10" s="4" t="s">
        <v>162</v>
      </c>
      <c r="B10" s="17" t="n">
        <v>7285</v>
      </c>
      <c r="C10" s="17" t="n">
        <v>1218</v>
      </c>
      <c r="D10" s="18" t="n">
        <f aca="false">C10/B10</f>
        <v>0.167192862045299</v>
      </c>
      <c r="E10" s="17" t="n">
        <v>7241</v>
      </c>
      <c r="F10" s="17" t="n">
        <v>1217</v>
      </c>
      <c r="G10" s="18" t="n">
        <f aca="false">F10/E10</f>
        <v>0.168070708465682</v>
      </c>
    </row>
    <row r="11" customFormat="false" ht="15" hidden="false" customHeight="false" outlineLevel="0" collapsed="false">
      <c r="A11" s="4" t="s">
        <v>163</v>
      </c>
      <c r="B11" s="17" t="n">
        <v>3761</v>
      </c>
      <c r="C11" s="17" t="n">
        <v>1333</v>
      </c>
      <c r="D11" s="18" t="n">
        <f aca="false">C11/B11</f>
        <v>0.354427014091997</v>
      </c>
      <c r="E11" s="17" t="n">
        <v>3761</v>
      </c>
      <c r="F11" s="17" t="n">
        <v>1333</v>
      </c>
      <c r="G11" s="18" t="n">
        <f aca="false">F11/E11</f>
        <v>0.354427014091997</v>
      </c>
    </row>
    <row r="12" customFormat="false" ht="15" hidden="false" customHeight="false" outlineLevel="0" collapsed="false">
      <c r="A12" s="4" t="s">
        <v>164</v>
      </c>
      <c r="B12" s="17" t="n">
        <v>3374</v>
      </c>
      <c r="C12" s="17" t="n">
        <v>832</v>
      </c>
      <c r="D12" s="18" t="n">
        <f aca="false">C12/B12</f>
        <v>0.246591582691168</v>
      </c>
      <c r="E12" s="17" t="n">
        <v>3374</v>
      </c>
      <c r="F12" s="17" t="n">
        <v>832</v>
      </c>
      <c r="G12" s="18" t="n">
        <f aca="false">F12/E12</f>
        <v>0.246591582691168</v>
      </c>
    </row>
    <row r="13" customFormat="false" ht="15" hidden="false" customHeight="false" outlineLevel="0" collapsed="false">
      <c r="A13" s="4" t="s">
        <v>165</v>
      </c>
      <c r="B13" s="17" t="n">
        <v>2342</v>
      </c>
      <c r="C13" s="17" t="n">
        <v>474</v>
      </c>
      <c r="D13" s="18" t="n">
        <f aca="false">C13/B13</f>
        <v>0.202391118701964</v>
      </c>
      <c r="E13" s="17" t="n">
        <v>2327</v>
      </c>
      <c r="F13" s="17" t="n">
        <v>459</v>
      </c>
      <c r="G13" s="18" t="n">
        <f aca="false">F13/E13</f>
        <v>0.197249677696605</v>
      </c>
    </row>
    <row r="14" customFormat="false" ht="15" hidden="false" customHeight="false" outlineLevel="0" collapsed="false">
      <c r="A14" s="4" t="s">
        <v>166</v>
      </c>
      <c r="B14" s="17" t="n">
        <v>2222</v>
      </c>
      <c r="C14" s="17" t="n">
        <v>830</v>
      </c>
      <c r="D14" s="18" t="n">
        <f aca="false">C14/B14</f>
        <v>0.373537353735374</v>
      </c>
      <c r="E14" s="17" t="n">
        <v>2222</v>
      </c>
      <c r="F14" s="17" t="n">
        <v>830</v>
      </c>
      <c r="G14" s="18" t="n">
        <f aca="false">F14/E14</f>
        <v>0.373537353735374</v>
      </c>
    </row>
    <row r="15" customFormat="false" ht="15" hidden="false" customHeight="false" outlineLevel="0" collapsed="false">
      <c r="A15" s="4" t="s">
        <v>167</v>
      </c>
      <c r="B15" s="17" t="n">
        <v>2103</v>
      </c>
      <c r="C15" s="17" t="n">
        <v>387</v>
      </c>
      <c r="D15" s="18" t="n">
        <f aca="false">C15/B15</f>
        <v>0.184022824536377</v>
      </c>
      <c r="E15" s="17" t="n">
        <v>2103</v>
      </c>
      <c r="F15" s="17" t="n">
        <v>387</v>
      </c>
      <c r="G15" s="18" t="n">
        <f aca="false">F15/E15</f>
        <v>0.184022824536377</v>
      </c>
    </row>
  </sheetData>
  <conditionalFormatting sqref="D6:D15">
    <cfRule type="colorScale" priority="2">
      <colorScale>
        <cfvo type="num" val="0"/>
        <cfvo type="num" val="0.6"/>
        <color rgb="FFFFFFFF"/>
        <color rgb="FFE8705A"/>
      </colorScale>
    </cfRule>
  </conditionalFormatting>
  <conditionalFormatting sqref="G6:G15">
    <cfRule type="colorScale" priority="3">
      <colorScale>
        <cfvo type="num" val="0"/>
        <cfvo type="num" val="0.6"/>
        <color rgb="FFFFFFFF"/>
        <color rgb="FFE8705A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5" min="2" style="0" width="14"/>
  </cols>
  <sheetData>
    <row r="1" customFormat="false" ht="17.35" hidden="false" customHeight="false" outlineLevel="0" collapsed="false">
      <c r="A1" s="15" t="s">
        <v>168</v>
      </c>
    </row>
    <row r="2" customFormat="false" ht="15" hidden="false" customHeight="false" outlineLevel="0" collapsed="false">
      <c r="A2" s="2" t="s">
        <v>169</v>
      </c>
    </row>
    <row r="3" customFormat="false" ht="15" hidden="false" customHeight="false" outlineLevel="0" collapsed="false">
      <c r="A3" s="16" t="s">
        <v>170</v>
      </c>
    </row>
    <row r="5" customFormat="false" ht="30" hidden="false" customHeight="true" outlineLevel="0" collapsed="false">
      <c r="A5" s="3" t="s">
        <v>111</v>
      </c>
      <c r="B5" s="3" t="s">
        <v>171</v>
      </c>
      <c r="C5" s="3" t="s">
        <v>104</v>
      </c>
      <c r="D5" s="3" t="s">
        <v>105</v>
      </c>
      <c r="E5" s="3" t="s">
        <v>172</v>
      </c>
    </row>
    <row r="6" customFormat="false" ht="15" hidden="false" customHeight="false" outlineLevel="0" collapsed="false">
      <c r="A6" s="4" t="s">
        <v>115</v>
      </c>
      <c r="B6" s="33" t="n">
        <v>0.2914</v>
      </c>
      <c r="C6" s="33" t="n">
        <v>0.5236</v>
      </c>
      <c r="D6" s="33" t="n">
        <v>0.637</v>
      </c>
      <c r="E6" s="33" t="n">
        <v>0.7147</v>
      </c>
    </row>
    <row r="7" customFormat="false" ht="15" hidden="false" customHeight="false" outlineLevel="0" collapsed="false">
      <c r="A7" s="4" t="s">
        <v>114</v>
      </c>
      <c r="B7" s="33" t="n">
        <v>0.2233</v>
      </c>
      <c r="C7" s="33" t="n">
        <v>0.3965</v>
      </c>
      <c r="D7" s="33" t="n">
        <v>0.4459</v>
      </c>
      <c r="E7" s="33" t="n">
        <v>0.5358</v>
      </c>
    </row>
    <row r="8" customFormat="false" ht="15" hidden="false" customHeight="false" outlineLevel="0" collapsed="false">
      <c r="A8" s="4" t="s">
        <v>118</v>
      </c>
      <c r="B8" s="33" t="n">
        <v>0.1158</v>
      </c>
      <c r="C8" s="33" t="n">
        <v>0.3922</v>
      </c>
      <c r="D8" s="33" t="n">
        <v>0.5703</v>
      </c>
      <c r="E8" s="33" t="n">
        <v>0.4894</v>
      </c>
    </row>
    <row r="9" customFormat="false" ht="15" hidden="false" customHeight="false" outlineLevel="0" collapsed="false">
      <c r="A9" s="4" t="s">
        <v>116</v>
      </c>
      <c r="B9" s="33" t="n">
        <v>0.1652</v>
      </c>
      <c r="C9" s="33" t="n">
        <v>0.2924</v>
      </c>
      <c r="D9" s="33" t="n">
        <v>0.3845</v>
      </c>
      <c r="E9" s="33" t="n">
        <v>0.4611</v>
      </c>
    </row>
    <row r="10" customFormat="false" ht="15" hidden="false" customHeight="false" outlineLevel="0" collapsed="false">
      <c r="A10" s="4" t="s">
        <v>117</v>
      </c>
      <c r="B10" s="33" t="n">
        <v>0.1148</v>
      </c>
      <c r="C10" s="33" t="n">
        <v>0.2073</v>
      </c>
      <c r="D10" s="33" t="n">
        <v>0.1939</v>
      </c>
      <c r="E10" s="33" t="n">
        <v>0.2629</v>
      </c>
    </row>
  </sheetData>
  <conditionalFormatting sqref="B6:E10">
    <cfRule type="colorScale" priority="2">
      <colorScale>
        <cfvo type="num" val="0.1"/>
        <cfvo type="num" val="0.4"/>
        <cfvo type="num" val="0.75"/>
        <color rgb="FFFFFFFF"/>
        <color rgb="FFF6C3B4"/>
        <color rgb="FFD9442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8"/>
    <col collapsed="false" customWidth="true" hidden="false" outlineLevel="0" max="5" min="4" style="0" width="14"/>
    <col collapsed="false" customWidth="true" hidden="false" outlineLevel="0" max="7" min="6" style="0" width="18"/>
    <col collapsed="false" customWidth="true" hidden="false" outlineLevel="0" max="8" min="8" style="0" width="10"/>
    <col collapsed="false" customWidth="true" hidden="false" outlineLevel="0" max="9" min="9" style="0" width="11"/>
  </cols>
  <sheetData>
    <row r="1" customFormat="false" ht="17.35" hidden="false" customHeight="false" outlineLevel="0" collapsed="false">
      <c r="A1" s="15" t="s">
        <v>173</v>
      </c>
    </row>
    <row r="2" customFormat="false" ht="15" hidden="false" customHeight="false" outlineLevel="0" collapsed="false">
      <c r="A2" s="2" t="s">
        <v>174</v>
      </c>
    </row>
    <row r="3" customFormat="false" ht="15" hidden="false" customHeight="false" outlineLevel="0" collapsed="false">
      <c r="A3" s="16" t="s">
        <v>175</v>
      </c>
    </row>
    <row r="5" customFormat="false" ht="30" hidden="false" customHeight="true" outlineLevel="0" collapsed="false">
      <c r="A5" s="3" t="s">
        <v>176</v>
      </c>
      <c r="B5" s="3" t="s">
        <v>177</v>
      </c>
      <c r="C5" s="3" t="s">
        <v>178</v>
      </c>
      <c r="D5" s="3" t="s">
        <v>179</v>
      </c>
      <c r="E5" s="3" t="s">
        <v>180</v>
      </c>
      <c r="F5" s="3" t="s">
        <v>181</v>
      </c>
      <c r="G5" s="3" t="s">
        <v>182</v>
      </c>
      <c r="H5" s="3" t="s">
        <v>183</v>
      </c>
      <c r="I5" s="3" t="s">
        <v>184</v>
      </c>
    </row>
    <row r="6" customFormat="false" ht="15" hidden="false" customHeight="false" outlineLevel="0" collapsed="false">
      <c r="A6" s="4" t="s">
        <v>185</v>
      </c>
      <c r="B6" s="17" t="n">
        <v>1865</v>
      </c>
      <c r="C6" s="17" t="n">
        <v>1096</v>
      </c>
      <c r="D6" s="19" t="n">
        <v>82.92</v>
      </c>
      <c r="E6" s="19" t="n">
        <v>49.58</v>
      </c>
      <c r="F6" s="27" t="n">
        <v>427726</v>
      </c>
      <c r="G6" s="27" t="n">
        <v>68674</v>
      </c>
      <c r="H6" s="34" t="n">
        <f aca="false">RANK(F6,$F$6:$F$17)</f>
        <v>12</v>
      </c>
      <c r="I6" s="34" t="n">
        <f aca="false">RANK(G6,$G$6:$G$17)</f>
        <v>12</v>
      </c>
    </row>
    <row r="7" customFormat="false" ht="15" hidden="false" customHeight="false" outlineLevel="0" collapsed="false">
      <c r="A7" s="4" t="s">
        <v>186</v>
      </c>
      <c r="B7" s="17" t="n">
        <v>2475</v>
      </c>
      <c r="C7" s="17" t="n">
        <v>1551</v>
      </c>
      <c r="D7" s="19" t="n">
        <v>87.29</v>
      </c>
      <c r="E7" s="19" t="n">
        <v>54.62</v>
      </c>
      <c r="F7" s="27" t="n">
        <v>521293</v>
      </c>
      <c r="G7" s="27" t="n">
        <v>150138</v>
      </c>
      <c r="H7" s="34" t="n">
        <f aca="false">RANK(F7,$F$6:$F$17)</f>
        <v>10</v>
      </c>
      <c r="I7" s="34" t="n">
        <f aca="false">RANK(G7,$G$6:$G$17)</f>
        <v>10</v>
      </c>
    </row>
    <row r="8" customFormat="false" ht="15" hidden="false" customHeight="false" outlineLevel="0" collapsed="false">
      <c r="A8" s="4" t="s">
        <v>187</v>
      </c>
      <c r="B8" s="17" t="n">
        <v>3216</v>
      </c>
      <c r="C8" s="17" t="n">
        <v>1666</v>
      </c>
      <c r="D8" s="19" t="n">
        <v>91.15</v>
      </c>
      <c r="E8" s="19" t="n">
        <v>57.71</v>
      </c>
      <c r="F8" s="27" t="n">
        <v>724873</v>
      </c>
      <c r="G8" s="27" t="n">
        <v>256849</v>
      </c>
      <c r="H8" s="34" t="n">
        <f aca="false">RANK(F8,$F$6:$F$17)</f>
        <v>8</v>
      </c>
      <c r="I8" s="34" t="n">
        <f aca="false">RANK(G8,$G$6:$G$17)</f>
        <v>8</v>
      </c>
    </row>
    <row r="9" customFormat="false" ht="15" hidden="false" customHeight="false" outlineLevel="0" collapsed="false">
      <c r="A9" s="4" t="s">
        <v>188</v>
      </c>
      <c r="B9" s="17" t="n">
        <v>3734</v>
      </c>
      <c r="C9" s="17" t="n">
        <v>1804</v>
      </c>
      <c r="D9" s="19" t="n">
        <v>112.24</v>
      </c>
      <c r="E9" s="19" t="n">
        <v>76.47</v>
      </c>
      <c r="F9" s="27" t="n">
        <v>1207445</v>
      </c>
      <c r="G9" s="27" t="n">
        <v>403164</v>
      </c>
      <c r="H9" s="34" t="n">
        <f aca="false">RANK(F9,$F$6:$F$17)</f>
        <v>4</v>
      </c>
      <c r="I9" s="34" t="n">
        <f aca="false">RANK(G9,$G$6:$G$17)</f>
        <v>5</v>
      </c>
    </row>
    <row r="10" customFormat="false" ht="15" hidden="false" customHeight="false" outlineLevel="0" collapsed="false">
      <c r="A10" s="4" t="s">
        <v>189</v>
      </c>
      <c r="B10" s="17" t="n">
        <v>4110</v>
      </c>
      <c r="C10" s="17" t="n">
        <v>1780</v>
      </c>
      <c r="D10" s="19" t="n">
        <v>121.63</v>
      </c>
      <c r="E10" s="19" t="n">
        <v>77.82</v>
      </c>
      <c r="F10" s="27" t="n">
        <v>1322498</v>
      </c>
      <c r="G10" s="27" t="n">
        <v>390414</v>
      </c>
      <c r="H10" s="34" t="n">
        <f aca="false">RANK(F10,$F$6:$F$17)</f>
        <v>1</v>
      </c>
      <c r="I10" s="34" t="n">
        <f aca="false">RANK(G10,$G$6:$G$17)</f>
        <v>6</v>
      </c>
    </row>
    <row r="11" customFormat="false" ht="15" hidden="false" customHeight="false" outlineLevel="0" collapsed="false">
      <c r="A11" s="4" t="s">
        <v>190</v>
      </c>
      <c r="B11" s="17" t="n">
        <v>3942</v>
      </c>
      <c r="C11" s="17" t="n">
        <v>1522</v>
      </c>
      <c r="D11" s="19" t="n">
        <v>118.15</v>
      </c>
      <c r="E11" s="19" t="n">
        <v>109.37</v>
      </c>
      <c r="F11" s="27" t="n">
        <v>1302896</v>
      </c>
      <c r="G11" s="27" t="n">
        <v>613201</v>
      </c>
      <c r="H11" s="34" t="n">
        <f aca="false">RANK(F11,$F$6:$F$17)</f>
        <v>3</v>
      </c>
      <c r="I11" s="34" t="n">
        <f aca="false">RANK(G11,$G$6:$G$17)</f>
        <v>3</v>
      </c>
    </row>
    <row r="12" customFormat="false" ht="15" hidden="false" customHeight="false" outlineLevel="0" collapsed="false">
      <c r="A12" s="4" t="s">
        <v>191</v>
      </c>
      <c r="B12" s="17" t="n">
        <v>2690</v>
      </c>
      <c r="C12" s="17" t="n">
        <v>1524</v>
      </c>
      <c r="D12" s="19" t="n">
        <v>116.23</v>
      </c>
      <c r="E12" s="19" t="n">
        <v>152.06</v>
      </c>
      <c r="F12" s="27" t="n">
        <v>1160168</v>
      </c>
      <c r="G12" s="27" t="n">
        <v>1327149</v>
      </c>
      <c r="H12" s="34" t="n">
        <f aca="false">RANK(F12,$F$6:$F$17)</f>
        <v>5</v>
      </c>
      <c r="I12" s="34" t="n">
        <f aca="false">RANK(G12,$G$6:$G$17)</f>
        <v>2</v>
      </c>
    </row>
    <row r="13" customFormat="false" ht="15" hidden="false" customHeight="false" outlineLevel="0" collapsed="false">
      <c r="A13" s="4" t="s">
        <v>192</v>
      </c>
      <c r="B13" s="17" t="n">
        <v>2989</v>
      </c>
      <c r="C13" s="17" t="n">
        <v>1631</v>
      </c>
      <c r="D13" s="19" t="n">
        <v>119.01</v>
      </c>
      <c r="E13" s="19" t="n">
        <v>183.12</v>
      </c>
      <c r="F13" s="27" t="n">
        <v>1313548</v>
      </c>
      <c r="G13" s="27" t="n">
        <v>1714010</v>
      </c>
      <c r="H13" s="34" t="n">
        <f aca="false">RANK(F13,$F$6:$F$17)</f>
        <v>2</v>
      </c>
      <c r="I13" s="34" t="n">
        <f aca="false">RANK(G13,$G$6:$G$17)</f>
        <v>1</v>
      </c>
    </row>
    <row r="14" customFormat="false" ht="15" hidden="false" customHeight="false" outlineLevel="0" collapsed="false">
      <c r="A14" s="4" t="s">
        <v>193</v>
      </c>
      <c r="B14" s="17" t="n">
        <v>3696</v>
      </c>
      <c r="C14" s="17" t="n">
        <v>1554</v>
      </c>
      <c r="D14" s="19" t="n">
        <v>113.15</v>
      </c>
      <c r="E14" s="19" t="n">
        <v>96.79</v>
      </c>
      <c r="F14" s="27" t="n">
        <v>984444</v>
      </c>
      <c r="G14" s="27" t="n">
        <v>403210</v>
      </c>
      <c r="H14" s="34" t="n">
        <f aca="false">RANK(F14,$F$6:$F$17)</f>
        <v>6</v>
      </c>
      <c r="I14" s="34" t="n">
        <f aca="false">RANK(G14,$G$6:$G$17)</f>
        <v>4</v>
      </c>
    </row>
    <row r="15" customFormat="false" ht="15" hidden="false" customHeight="false" outlineLevel="0" collapsed="false">
      <c r="A15" s="4" t="s">
        <v>194</v>
      </c>
      <c r="B15" s="17" t="n">
        <v>3797</v>
      </c>
      <c r="C15" s="17" t="n">
        <v>1776</v>
      </c>
      <c r="D15" s="19" t="n">
        <v>102.96</v>
      </c>
      <c r="E15" s="19" t="n">
        <v>62.8</v>
      </c>
      <c r="F15" s="27" t="n">
        <v>880344</v>
      </c>
      <c r="G15" s="27" t="n">
        <v>272389</v>
      </c>
      <c r="H15" s="34" t="n">
        <f aca="false">RANK(F15,$F$6:$F$17)</f>
        <v>7</v>
      </c>
      <c r="I15" s="34" t="n">
        <f aca="false">RANK(G15,$G$6:$G$17)</f>
        <v>7</v>
      </c>
    </row>
    <row r="16" customFormat="false" ht="15" hidden="false" customHeight="false" outlineLevel="0" collapsed="false">
      <c r="A16" s="4" t="s">
        <v>195</v>
      </c>
      <c r="B16" s="17" t="n">
        <v>2168</v>
      </c>
      <c r="C16" s="17" t="n">
        <v>1218</v>
      </c>
      <c r="D16" s="19" t="n">
        <v>87.83</v>
      </c>
      <c r="E16" s="19" t="n">
        <v>49.51</v>
      </c>
      <c r="F16" s="27" t="n">
        <v>480758</v>
      </c>
      <c r="G16" s="27" t="n">
        <v>83845</v>
      </c>
      <c r="H16" s="34" t="n">
        <f aca="false">RANK(F16,$F$6:$F$17)</f>
        <v>11</v>
      </c>
      <c r="I16" s="34" t="n">
        <f aca="false">RANK(G16,$G$6:$G$17)</f>
        <v>11</v>
      </c>
    </row>
    <row r="17" customFormat="false" ht="15" hidden="false" customHeight="false" outlineLevel="0" collapsed="false">
      <c r="A17" s="4" t="s">
        <v>196</v>
      </c>
      <c r="B17" s="17" t="n">
        <v>2057</v>
      </c>
      <c r="C17" s="17" t="n">
        <v>1322</v>
      </c>
      <c r="D17" s="19" t="n">
        <v>89.04</v>
      </c>
      <c r="E17" s="19" t="n">
        <v>70.22</v>
      </c>
      <c r="F17" s="27" t="n">
        <v>553666</v>
      </c>
      <c r="G17" s="27" t="n">
        <v>159134</v>
      </c>
      <c r="H17" s="34" t="n">
        <f aca="false">RANK(F17,$F$6:$F$17)</f>
        <v>9</v>
      </c>
      <c r="I17" s="34" t="n">
        <f aca="false">RANK(G17,$G$6:$G$17)</f>
        <v>9</v>
      </c>
    </row>
    <row r="20" customFormat="false" ht="30" hidden="false" customHeight="true" outlineLevel="0" collapsed="false">
      <c r="A20" s="3" t="s">
        <v>46</v>
      </c>
      <c r="B20" s="3" t="s">
        <v>197</v>
      </c>
      <c r="C20" s="3" t="s">
        <v>198</v>
      </c>
      <c r="D20" s="3" t="s">
        <v>199</v>
      </c>
      <c r="E20" s="3" t="s">
        <v>200</v>
      </c>
    </row>
    <row r="21" customFormat="false" ht="15" hidden="false" customHeight="false" outlineLevel="0" collapsed="false">
      <c r="A21" s="4" t="s">
        <v>53</v>
      </c>
      <c r="B21" s="4" t="s">
        <v>201</v>
      </c>
      <c r="C21" s="17" t="n">
        <v>10428</v>
      </c>
      <c r="D21" s="27" t="n">
        <v>3776612</v>
      </c>
      <c r="E21" s="28" t="n">
        <f aca="false">D21/C21</f>
        <v>362.160721135405</v>
      </c>
    </row>
    <row r="22" customFormat="false" ht="15" hidden="false" customHeight="false" outlineLevel="0" collapsed="false">
      <c r="A22" s="4" t="s">
        <v>53</v>
      </c>
      <c r="B22" s="4" t="s">
        <v>202</v>
      </c>
      <c r="C22" s="17" t="n">
        <v>22650</v>
      </c>
      <c r="D22" s="27" t="n">
        <v>7103048</v>
      </c>
      <c r="E22" s="28" t="n">
        <f aca="false">D22/C22</f>
        <v>313.600353200883</v>
      </c>
    </row>
    <row r="23" customFormat="false" ht="15" hidden="false" customHeight="false" outlineLevel="0" collapsed="false">
      <c r="A23" s="4" t="s">
        <v>54</v>
      </c>
      <c r="B23" s="4" t="s">
        <v>201</v>
      </c>
      <c r="C23" s="17" t="n">
        <v>4080</v>
      </c>
      <c r="D23" s="27" t="n">
        <v>3654360</v>
      </c>
      <c r="E23" s="28" t="n">
        <f aca="false">D23/C23</f>
        <v>895.676470588235</v>
      </c>
    </row>
    <row r="24" customFormat="false" ht="15" hidden="false" customHeight="false" outlineLevel="0" collapsed="false">
      <c r="A24" s="4" t="s">
        <v>54</v>
      </c>
      <c r="B24" s="4" t="s">
        <v>202</v>
      </c>
      <c r="C24" s="17" t="n">
        <v>7040</v>
      </c>
      <c r="D24" s="27" t="n">
        <v>2187818</v>
      </c>
      <c r="E24" s="28" t="n">
        <f aca="false">D24/C24</f>
        <v>310.769602272727</v>
      </c>
    </row>
  </sheetData>
  <conditionalFormatting sqref="H6:H17">
    <cfRule type="colorScale" priority="2">
      <colorScale>
        <cfvo type="num" val="1"/>
        <cfvo type="num" val="4"/>
        <cfvo type="num" val="12"/>
        <color rgb="FFD9442B"/>
        <color rgb="FFFFFFFF"/>
        <color rgb="FFFFFFFF"/>
      </colorScale>
    </cfRule>
  </conditionalFormatting>
  <conditionalFormatting sqref="I6:I17">
    <cfRule type="colorScale" priority="3">
      <colorScale>
        <cfvo type="num" val="1"/>
        <cfvo type="num" val="4"/>
        <cfvo type="num" val="12"/>
        <color rgb="FFD9442B"/>
        <color rgb="FFFFFFFF"/>
        <color rgb="FFFFFFFF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2026-10-25T10:24:16Z</dcterms:created>
  <dc:creator/>
  <dc:description/>
  <dc:language>en-US</dc:language>
  <cp:lastModifiedBy/>
  <dcterms:modified xsi:type="dcterms:W3CDTF">2026-10-25T12:24:21Z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